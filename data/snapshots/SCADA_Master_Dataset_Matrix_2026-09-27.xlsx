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242b5b324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1661c66b2af4cd6"/>
    <x:sheet xmlns:r="http://schemas.openxmlformats.org/officeDocument/2006/relationships" name="Master Matrix" sheetId="2" r:id="Rde39c33f0fe04a3e"/>
    <x:sheet xmlns:r="http://schemas.openxmlformats.org/officeDocument/2006/relationships" name="Protocol Coverage" sheetId="3" r:id="R8196b3e1c1814a75"/>
    <x:sheet xmlns:r="http://schemas.openxmlformats.org/officeDocument/2006/relationships" name="Rights &amp; Access" sheetId="4" r:id="Rcc86b8ef638140f8"/>
    <x:sheet xmlns:r="http://schemas.openxmlformats.org/officeDocument/2006/relationships" name="Release Notes" sheetId="5" r:id="Re29f84877c764f72"/>
    <x:sheet xmlns:r="http://schemas.openxmlformats.org/officeDocument/2006/relationships" name="Build Plan" sheetId="6" r:id="Rdbf097e4f5984290"/>
    <x:sheet xmlns:r="http://schemas.openxmlformats.org/officeDocument/2006/relationships" name="Gap Register" sheetId="7" r:id="R6ce972c5893b4f77"/>
    <x:sheet xmlns:r="http://schemas.openxmlformats.org/officeDocument/2006/relationships" name="Sources" sheetId="8" r:id="R5b7c934832ae4ea3"/>
    <x:sheet xmlns:r="http://schemas.openxmlformats.org/officeDocument/2006/relationships" name="Glossary" sheetId="9" r:id="R847e90332a594e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577082"/>
      <x:name val="Carlito"/>
    </x:font>
    <x:font>
      <x:sz val="11"/>
      <x:color rgb="FF182F40"/>
      <x:name val="Carlito"/>
    </x:font>
    <x:font>
      <x:b/>
      <x:sz val="11"/>
      <x:color rgb="FF087F8C"/>
      <x:name val="Carlito"/>
    </x:font>
    <x:font>
      <x:b/>
      <x:sz val="11"/>
      <x:color rgb="FF182F4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D3E"/>
      </x:patternFill>
    </x:fill>
    <x:fill>
      <x:patternFill patternType="solid">
        <x:fgColor rgb="FF087F8C"/>
      </x:patternFill>
    </x:fill>
    <x:fill>
      <x:patternFill patternType="solid">
        <x:fgColor rgb="FFEAF3F5"/>
      </x:patternFill>
    </x:fill>
    <x:fill>
      <x:patternFill patternType="solid">
        <x:fgColor rgb="FFFFF0CF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ill>
        <x:patternFill patternType="solid">
          <x:bgColor rgb="FFFCE4E5"/>
        </x:patternFill>
      </x:fill>
    </x:dxf>
    <x:dxf>
      <x:fill>
        <x:patternFill patternType="solid">
          <x:bgColor rgb="FFFFF0CF"/>
        </x:patternFill>
      </x:fill>
    </x:dxf>
    <x:dxf>
      <x:fill>
        <x:patternFill patternType="solid">
          <x:bgColor rgb="FFDFF0E7"/>
        </x:patternFill>
      </x:fill>
    </x:dxf>
    <x:dxf>
      <x:fill>
        <x:patternFill patternType="solid">
          <x:bgColor rgb="FFEAF3F5"/>
        </x:patternFill>
      </x:fill>
    </x:dxf>
    <x:dxf>
      <x:fill>
        <x:patternFill patternType="solid">
          <x:bgColor rgb="FFDFF0E7"/>
        </x:patternFill>
      </x:fill>
    </x:dxf>
    <x:dxf>
      <x:fill>
        <x:patternFill patternType="solid">
          <x:bgColor rgb="FFEAF3F5"/>
        </x:patternFill>
      </x:fill>
    </x:dxf>
    <x:dxf>
      <x:fill>
        <x:patternFill patternType="solid">
          <x:bgColor rgb="FFEAF3F5"/>
        </x:patternFill>
      </x:fill>
    </x:dxf>
    <x:dxf>
      <x:fill>
        <x:patternFill patternType="solid">
          <x:bgColor rgb="FFEAF3F5"/>
        </x:patternFill>
      </x:fill>
    </x:dxf>
    <x:dxf>
      <x:fill>
        <x:patternFill patternType="solid">
          <x:bgColor rgb="FFFFF0CF"/>
        </x:patternFill>
      </x:fill>
    </x:dxf>
    <x:dxf>
      <x:fill>
        <x:patternFill patternType="solid">
          <x:bgColor rgb="FFFFF0CF"/>
        </x:patternFill>
      </x:fill>
    </x:dxf>
    <x:dxf>
      <x:fill>
        <x:patternFill patternType="solid">
          <x:bgColor rgb="FFFFF0CF"/>
        </x:patternFill>
      </x:fill>
    </x:dxf>
    <x:dxf>
      <x:fill>
        <x:patternFill patternType="solid">
          <x:bgColor rgb="FFFFF0CF"/>
        </x:patternFill>
      </x:fill>
    </x:dxf>
    <x:dxf>
      <x:fill>
        <x:patternFill patternType="solid">
          <x:bgColor rgb="FFFCE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bdf706270478d" /><Relationship Type="http://schemas.openxmlformats.org/officeDocument/2006/relationships/theme" Target="/xl/theme/theme1.xml" Id="Rad1d7f002f294a23" /><Relationship Type="http://schemas.openxmlformats.org/officeDocument/2006/relationships/sharedStrings" Target="/xl/sharedStrings.xml" Id="R1c274ea2c8fa476f" /><Relationship Type="http://schemas.openxmlformats.org/officeDocument/2006/relationships/worksheet" Target="/xl/worksheets/sheet1.xml" Id="R61661c66b2af4cd6" /><Relationship Type="http://schemas.openxmlformats.org/officeDocument/2006/relationships/worksheet" Target="/xl/worksheets/sheet2.xml" Id="Rde39c33f0fe04a3e" /><Relationship Type="http://schemas.openxmlformats.org/officeDocument/2006/relationships/worksheet" Target="/xl/worksheets/sheet3.xml" Id="R8196b3e1c1814a75" /><Relationship Type="http://schemas.openxmlformats.org/officeDocument/2006/relationships/worksheet" Target="/xl/worksheets/sheet4.xml" Id="Rcc86b8ef638140f8" /><Relationship Type="http://schemas.openxmlformats.org/officeDocument/2006/relationships/worksheet" Target="/xl/worksheets/sheet5.xml" Id="Re29f84877c764f72" /><Relationship Type="http://schemas.openxmlformats.org/officeDocument/2006/relationships/worksheet" Target="/xl/worksheets/sheet6.xml" Id="Rdbf097e4f5984290" /><Relationship Type="http://schemas.openxmlformats.org/officeDocument/2006/relationships/worksheet" Target="/xl/worksheets/sheet7.xml" Id="R6ce972c5893b4f77" /><Relationship Type="http://schemas.openxmlformats.org/officeDocument/2006/relationships/worksheet" Target="/xl/worksheets/sheet8.xml" Id="R5b7c934832ae4ea3" /><Relationship Type="http://schemas.openxmlformats.org/officeDocument/2006/relationships/worksheet" Target="/xl/worksheets/sheet9.xml" Id="R847e90332a594e80" /></Relationships>
</file>

<file path=xl/tables/table1.xml><?xml version="1.0" encoding="utf-8"?>
<x:table xmlns:x="http://schemas.openxmlformats.org/spreadsheetml/2006/main" id="1" name="ResearchTable1" displayName="ResearchTable1" ref="A6:Y18" headerRowCount="1" totalsRowCount="0" totalsRowShown="0">
  <x:tableColumns count="25">
    <x:tableColumn id="1" name="ID"/>
    <x:tableColumn id="2" name="Resource / scope"/>
    <x:tableColumn id="3" name="Category"/>
    <x:tableColumn id="4" name="Sector / process"/>
    <x:tableColumn id="5" name="Device types"/>
    <x:tableColumn id="6" name="Protocol coverage"/>
    <x:tableColumn id="7" name="Protocol evidence"/>
    <x:tableColumn id="8" name="PCAP availability"/>
    <x:tableColumn id="9" name="Other data formats"/>
    <x:tableColumn id="10" name="Physical-process ground truth"/>
    <x:tableColumn id="11" name="Attack labels / semantics"/>
    <x:tableColumn id="12" name="Topology / configuration"/>
    <x:tableColumn id="13" name="License / terms"/>
    <x:tableColumn id="14" name="Redistribution gate"/>
    <x:tableColumn id="15" name="Access / release caveat"/>
    <x:tableColumn id="16" name="Network realism"/>
    <x:tableColumn id="17" name="Process realism"/>
    <x:tableColumn id="18" name="Operational realism caveat"/>
    <x:tableColumn id="19" name="Participant difficulty"/>
    <x:tableColumn id="20" name="Organizer effort"/>
    <x:tableColumn id="21" name="Build-a-thon suitability"/>
    <x:tableColumn id="22" name="Adoption action"/>
    <x:tableColumn id="23" name="Primary sources"/>
    <x:tableColumn id="24" name="Rights sources"/>
    <x:tableColumn id="25" name="Verifi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Table2" displayName="ResearchTable2" ref="A6:Q18" headerRowCount="1" totalsRowCount="0" totalsRowShown="0">
  <x:tableColumns count="17">
    <x:tableColumn id="1" name="ID"/>
    <x:tableColumn id="2" name="Resource"/>
    <x:tableColumn id="3" name="Modbus"/>
    <x:tableColumn id="4" name="CIP / EtherNet/IP"/>
    <x:tableColumn id="5" name="S7comm"/>
    <x:tableColumn id="6" name="PROFINET"/>
    <x:tableColumn id="7" name="DNP3"/>
    <x:tableColumn id="8" name="IEC 60870-5-104"/>
    <x:tableColumn id="9" name="OPC UA"/>
    <x:tableColumn id="10" name="IEC 61850 GOOSE"/>
    <x:tableColumn id="11" name="IEC 61850 MMS"/>
    <x:tableColumn id="12" name="IEC 61850 Sampled Values"/>
    <x:tableColumn id="13" name="BACnet"/>
    <x:tableColumn id="14" name="KNX"/>
    <x:tableColumn id="15" name="EtherCAT"/>
    <x:tableColumn id="16" name="Interpretation"/>
    <x:tableColumn id="17" name="Sour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Table3" displayName="ResearchTable3" ref="A6:J18" headerRowCount="1" totalsRowCount="0" totalsRowShown="0">
  <x:tableColumns count="10">
    <x:tableColumn id="1" name="ID"/>
    <x:tableColumn id="2" name="Resource"/>
    <x:tableColumn id="3" name="License / stated terms"/>
    <x:tableColumn id="4" name="Internal event sharing"/>
    <x:tableColumn id="5" name="Public redistribution"/>
    <x:tableColumn id="6" name="Attribution / obligations"/>
    <x:tableColumn id="7" name="What the license covers"/>
    <x:tableColumn id="8" name="Clearance gate"/>
    <x:tableColumn id="9" name="Required next action"/>
    <x:tableColumn id="10" name="Sourc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Table4" displayName="ResearchTable4" ref="A6:G25" headerRowCount="1" totalsRowCount="0" totalsRowShown="0">
  <x:tableColumns count="7">
    <x:tableColumn id="1" name="Resource"/>
    <x:tableColumn id="2" name="Release / edition"/>
    <x:tableColumn id="3" name="Data / event content"/>
    <x:tableColumn id="4" name="PCAP status"/>
    <x:tableColumn id="5" name="Critical handling note"/>
    <x:tableColumn id="6" name="Freeze recommendation"/>
    <x:tableColumn id="7" name="Sourc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Table5" displayName="ResearchTable5" ref="A6:I17" headerRowCount="1" totalsRowCount="0" totalsRowShown="0">
  <x:tableColumns count="9">
    <x:tableColumn id="1" name="Phase"/>
    <x:tableColumn id="2" name="Resources"/>
    <x:tableColumn id="3" name="Track / learning objective"/>
    <x:tableColumn id="4" name="Participant level"/>
    <x:tableColumn id="5" name="Organizer effort"/>
    <x:tableColumn id="6" name="Proposed exercise"/>
    <x:tableColumn id="7" name="Required inputs / preparation"/>
    <x:tableColumn id="8" name="Release gate"/>
    <x:tableColumn id="9" name="Sources / rationa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Table6" displayName="ResearchTable6" ref="A6:H18" headerRowCount="1" totalsRowCount="0" totalsRowShown="0">
  <x:tableColumns count="8">
    <x:tableColumn id="1" name="Gap ID"/>
    <x:tableColumn id="2" name="Gap within selected corpus"/>
    <x:tableColumn id="3" name="Current evidence / partial coverage"/>
    <x:tableColumn id="4" name="Why it matters"/>
    <x:tableColumn id="5" name="Action to close gap"/>
    <x:tableColumn id="6" name="Priority"/>
    <x:tableColumn id="7" name="Validation evidence required"/>
    <x:tableColumn id="8" name="Sourc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Table7" displayName="ResearchTable7" ref="A6:F36" headerRowCount="1" totalsRowCount="0" totalsRowShown="0">
  <x:tableColumns count="6">
    <x:tableColumn id="1" name="Source ID"/>
    <x:tableColumn id="2" name="Resource"/>
    <x:tableColumn id="3" name="Source type"/>
    <x:tableColumn id="4" name="Primary URL"/>
    <x:tableColumn id="5" name="Supports / limitations"/>
    <x:tableColumn id="6" name="Verifi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earchTable8" displayName="ResearchTable8" ref="A6:C50" headerRowCount="1" totalsRowCount="0" totalsRowShown="0">
  <x:tableColumns count="3">
    <x:tableColumn id="1" name="Term"/>
    <x:tableColumn id="2" name="Shorthand / category"/>
    <x:tableColumn id="3" name="Meaning / handling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eeb185166840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a529a1638e44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cbb142a5a448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d35e0d8e964a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887c4f08eb4e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86dab46c4248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0f7e52f70f4b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6afcad8ce14be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2" customHeight="1">
      <x:c r="A1" s="4" t="str">
        <x:v>INDUSTRIAL DATASET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10" t="str">
        <x:v>Supervisory Control and Data Acquisition (SCADA) / Industrial Control System (ICS) awareness and builder training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22" customHeight="1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</x:row>
    <x:row r="5" ht="22" customHeight="1">
      <x:c r="A5" s="33" t="str">
        <x:v>VERSION 1.0  •  REVIEWED 27 SEPTEMBER 2026  •  PRIMARY-SOURCE DOCUMENTATION / CONFIGURATION REVIEW</x:v>
      </x:c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</x:row>
    <x:row r="6" ht="22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</x:row>
    <x:row r="7" ht="22" customHeight="1">
      <x:c r="A7" s="38" t="str">
        <x:v>RESOURCE FAMILIES</x:v>
      </x:c>
      <x:c r="B7" s="38"/>
      <x:c r="C7" s="38"/>
      <x:c r="D7" s="38" t="str">
        <x:v>DATASETS / CAPTURES</x:v>
      </x:c>
      <x:c r="E7" s="38"/>
      <x:c r="F7" s="38"/>
      <x:c r="G7" s="38" t="str">
        <x:v>GENERATORS</x:v>
      </x:c>
      <x:c r="H7" s="38"/>
      <x:c r="I7" s="38"/>
      <x:c r="J7" s="38" t="str">
        <x:v>FRAMEWORKS</x:v>
      </x:c>
      <x:c r="K7" s="38"/>
      <x:c r="L7" s="38"/>
    </x:row>
    <x:row r="8" ht="22" customHeight="1">
      <x:c r="A8" s="45" t="n">
        <x:f>COUNTA('Master Matrix'!$A$7:$A$18)</x:f>
        <x:v>12</x:v>
      </x:c>
      <x:c r="B8" s="45"/>
      <x:c r="C8" s="45"/>
      <x:c r="D8" s="45" t="n">
        <x:f>COUNTIF('Master Matrix'!$C$7:$C$18,"Dataset / capture")</x:f>
        <x:v>7</x:v>
      </x:c>
      <x:c r="E8" s="45"/>
      <x:c r="F8" s="45"/>
      <x:c r="G8" s="45" t="n">
        <x:f>COUNTIF('Master Matrix'!$C$7:$C$18,"Generator")</x:f>
        <x:v>3</x:v>
      </x:c>
      <x:c r="H8" s="45"/>
      <x:c r="I8" s="45"/>
      <x:c r="J8" s="45" t="n">
        <x:f>COUNTIF('Master Matrix'!$C$7:$C$18,"Framework")</x:f>
        <x:v>2</x:v>
      </x:c>
      <x:c r="K8" s="45"/>
      <x:c r="L8" s="45"/>
    </x:row>
    <x:row r="9" ht="22" customHeight="1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</x:row>
    <x:row r="10" ht="22" customHeight="1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</x:row>
    <x:row r="11" ht="22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 ht="22" customHeight="1">
      <x:c r="A12" s="52" t="str">
        <x:v>READINESS IS NOT DOWNLOADABILITY. This review did not run the testbeds, decode every packet capture, audit entire archives or obtain redistribution permissions. Unverified fields are explicit; ratings are analytical judgments.</x:v>
      </x:c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</x:row>
    <x:row r="13" ht="22" customHeight="1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</x:row>
    <x:row r="14" ht="22" customHeight="1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</x:row>
    <x:row r="15" ht="22" customHeight="1">
      <x:c r="A15" s="3" t="str">
        <x:v>FIRST EVENT CANDIDATES</x:v>
      </x:c>
      <x:c r="B15" s="3"/>
      <x:c r="C15" s="3"/>
      <x:c r="D15" s="3"/>
      <x:c r="E15" s="3"/>
      <x:c r="F15" s="3"/>
      <x:c r="G15" s="3" t="str">
        <x:v>APPROVAL / CLARIFICATION GATES</x:v>
      </x:c>
      <x:c r="H15" s="3"/>
      <x:c r="I15" s="3"/>
      <x:c r="J15" s="3"/>
      <x:c r="K15" s="3"/>
      <x:c r="L15" s="3"/>
    </x:row>
    <x:row r="16" ht="22" customHeight="1">
      <x:c r="A16" s="57" t="str">
        <x:v>Curate KNX and 4SICS for packet / contextual analysis after notice, privacy and file checks. Build a GRFICSv3 scenario for synchronized process and network evidence. Use NIST and MITRE across the curriculum.</x:v>
      </x:c>
      <x:c r="B16" s="57"/>
      <x:c r="C16" s="57"/>
      <x:c r="D16" s="57"/>
      <x:c r="E16" s="57"/>
      <x:c r="F16" s="57"/>
      <x:c r="G16" s="52" t="str">
        <x:v>SWaT / WADI: no private or public onward sharing under current terms. IEC 61850 / S4x15: downstream rights unresolved. HAI: conflicting license notices. Keep these out of shared event bundles until cleared.</x:v>
      </x:c>
      <x:c r="H16" s="52"/>
      <x:c r="I16" s="52"/>
      <x:c r="J16" s="52"/>
      <x:c r="K16" s="52"/>
      <x:c r="L16" s="52"/>
    </x:row>
    <x:row r="17" ht="22" customHeight="1">
      <x:c r="A17" s="57"/>
      <x:c r="B17" s="57"/>
      <x:c r="C17" s="57"/>
      <x:c r="D17" s="57"/>
      <x:c r="E17" s="57"/>
      <x:c r="F17" s="57"/>
      <x:c r="G17" s="52"/>
      <x:c r="H17" s="52"/>
      <x:c r="I17" s="52"/>
      <x:c r="J17" s="52"/>
      <x:c r="K17" s="52"/>
      <x:c r="L17" s="52"/>
    </x:row>
    <x:row r="18" ht="22" customHeight="1">
      <x:c r="A18" s="57"/>
      <x:c r="B18" s="57"/>
      <x:c r="C18" s="57"/>
      <x:c r="D18" s="57"/>
      <x:c r="E18" s="57"/>
      <x:c r="F18" s="57"/>
      <x:c r="G18" s="52"/>
      <x:c r="H18" s="52"/>
      <x:c r="I18" s="52"/>
      <x:c r="J18" s="52"/>
      <x:c r="K18" s="52"/>
      <x:c r="L18" s="52"/>
    </x:row>
    <x:row r="19" ht="22" customHeight="1">
      <x:c r="A19" s="57"/>
      <x:c r="B19" s="57"/>
      <x:c r="C19" s="57"/>
      <x:c r="D19" s="57"/>
      <x:c r="E19" s="57"/>
      <x:c r="F19" s="57"/>
      <x:c r="G19" s="52"/>
      <x:c r="H19" s="52"/>
      <x:c r="I19" s="52"/>
      <x:c r="J19" s="52"/>
      <x:c r="K19" s="52"/>
      <x:c r="L19" s="52"/>
    </x:row>
    <x:row r="20" ht="22" customHeight="1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</x:row>
    <x:row r="21" ht="22" customHeight="1">
      <x:c r="A21" s="14" t="str">
        <x:v>Permission-dependent families</x:v>
      </x:c>
      <x:c r="B21" s="14"/>
      <x:c r="C21" s="14"/>
      <x:c r="D21" s="14"/>
      <x:c r="E21" s="61" t="n">
        <x:f>COUNTIF('Master Matrix'!$N$7:$N$18,"Permission required")</x:f>
        <x:v>4</x:v>
      </x:c>
      <x:c r="F21" s="14"/>
      <x:c r="G21" s="14" t="str">
        <x:v>Conflicting-license families</x:v>
      </x:c>
      <x:c r="H21" s="14"/>
      <x:c r="I21" s="14"/>
      <x:c r="J21" s="14"/>
      <x:c r="K21" s="14"/>
      <x:c r="L21" s="61" t="n">
        <x:f>COUNTIF('Master Matrix'!$N$7:$N$18,"License clarification")</x:f>
        <x:v>1</x:v>
      </x:c>
    </x:row>
    <x:row r="22" ht="22" customHeight="1">
      <x:c r="A22" s="14" t="str">
        <x:v>Primary-source entries</x:v>
      </x:c>
      <x:c r="B22" s="14"/>
      <x:c r="C22" s="14"/>
      <x:c r="D22" s="14"/>
      <x:c r="E22" s="61" t="n">
        <x:f>COUNTA(Sources!$A$7:$A$36)</x:f>
        <x:v>30</x:v>
      </x:c>
      <x:c r="F22" s="14"/>
      <x:c r="G22" s="14" t="str">
        <x:v>Documented corpus gaps</x:v>
      </x:c>
      <x:c r="H22" s="14"/>
      <x:c r="I22" s="14"/>
      <x:c r="J22" s="14"/>
      <x:c r="K22" s="14"/>
      <x:c r="L22" s="61" t="n">
        <x:f>COUNTA('Gap Register'!$A$7:$A$18)</x:f>
        <x:v>12</x:v>
      </x:c>
    </x:row>
    <x:row r="23" ht="22" customHeight="1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</x:row>
    <x:row r="24" ht="22" customHeight="1">
      <x:c r="A24" s="10" t="str">
        <x:v>Interpretation: packet capture (PCAP) availability, protocol support, physical-process truth and permission to redistribute are four separate questions. Operational Technology (OT) realism must be assessed across all four.</x:v>
      </x:c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</x:row>
    <x:row r="25" ht="22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</x:row>
    <x:row r="26" ht="22" customHeight="1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</x:row>
    <x:row r="27" ht="22" customHeight="1">
      <x:c r="A27" s="21" t="str">
        <x:v>WORKBOOK MAP</x:v>
      </x:c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 ht="22" customHeight="1">
      <x:c r="A28" s="64" t="str">
        <x:v>Master Matrix</x:v>
      </x:c>
      <x:c r="B28" s="64"/>
      <x:c r="C28" s="64"/>
      <x:c r="D28" s="56" t="str">
        <x:v>All requested fields; filterable resource-level inventory.</x:v>
      </x:c>
      <x:c r="E28" s="56"/>
      <x:c r="F28" s="56"/>
      <x:c r="G28" s="56"/>
      <x:c r="H28" s="56"/>
      <x:c r="I28" s="56"/>
      <x:c r="J28" s="56"/>
      <x:c r="K28" s="56"/>
      <x:c r="L28" s="56"/>
    </x:row>
    <x:row r="29" ht="22" customHeight="1">
      <x:c r="A29" s="70" t="str">
        <x:v>Protocol Coverage</x:v>
      </x:c>
      <x:c r="B29" s="70"/>
      <x:c r="C29" s="70"/>
      <x:c r="D29" s="67" t="str">
        <x:v>Capabilities, lab protocols and documented packet evidence kept distinct.</x:v>
      </x:c>
      <x:c r="E29" s="67"/>
      <x:c r="F29" s="67"/>
      <x:c r="G29" s="67"/>
      <x:c r="H29" s="67"/>
      <x:c r="I29" s="67"/>
      <x:c r="J29" s="67"/>
      <x:c r="K29" s="67"/>
      <x:c r="L29" s="67"/>
    </x:row>
    <x:row r="30" ht="22" customHeight="1">
      <x:c r="A30" s="64" t="str">
        <x:v>Rights &amp; Access</x:v>
      </x:c>
      <x:c r="B30" s="64"/>
      <x:c r="C30" s="64"/>
      <x:c r="D30" s="56" t="str">
        <x:v>Internal and public sharing gates, obligations and owner-action requirements.</x:v>
      </x:c>
      <x:c r="E30" s="56"/>
      <x:c r="F30" s="56"/>
      <x:c r="G30" s="56"/>
      <x:c r="H30" s="56"/>
      <x:c r="I30" s="56"/>
      <x:c r="J30" s="56"/>
      <x:c r="K30" s="56"/>
      <x:c r="L30" s="56"/>
    </x:row>
    <x:row r="31" ht="22" customHeight="1">
      <x:c r="A31" s="70" t="str">
        <x:v>Release Notes</x:v>
      </x:c>
      <x:c r="B31" s="70"/>
      <x:c r="C31" s="70"/>
      <x:c r="D31" s="67" t="str">
        <x:v>Version, label, acquisition-date and synchronization warnings.</x:v>
      </x:c>
      <x:c r="E31" s="67"/>
      <x:c r="F31" s="67"/>
      <x:c r="G31" s="67"/>
      <x:c r="H31" s="67"/>
      <x:c r="I31" s="67"/>
      <x:c r="J31" s="67"/>
      <x:c r="K31" s="67"/>
      <x:c r="L31" s="67"/>
    </x:row>
    <x:row r="32" ht="22" customHeight="1">
      <x:c r="A32" s="64" t="str">
        <x:v>Build Plan</x:v>
      </x:c>
      <x:c r="B32" s="64"/>
      <x:c r="C32" s="64"/>
      <x:c r="D32" s="56" t="str">
        <x:v>Proposed exercises, participant difficulty, organizer effort and release gates.</x:v>
      </x:c>
      <x:c r="E32" s="56"/>
      <x:c r="F32" s="56"/>
      <x:c r="G32" s="56"/>
      <x:c r="H32" s="56"/>
      <x:c r="I32" s="56"/>
      <x:c r="J32" s="56"/>
      <x:c r="K32" s="56"/>
      <x:c r="L32" s="56"/>
    </x:row>
    <x:row r="33" ht="22" customHeight="1">
      <x:c r="A33" s="70" t="str">
        <x:v>Gap Register</x:v>
      </x:c>
      <x:c r="B33" s="70"/>
      <x:c r="C33" s="70"/>
      <x:c r="D33" s="67" t="str">
        <x:v>Twelve actionable gaps scoped only to this selected resource corpus.</x:v>
      </x:c>
      <x:c r="E33" s="67"/>
      <x:c r="F33" s="67"/>
      <x:c r="G33" s="67"/>
      <x:c r="H33" s="67"/>
      <x:c r="I33" s="67"/>
      <x:c r="J33" s="67"/>
      <x:c r="K33" s="67"/>
      <x:c r="L33" s="67"/>
    </x:row>
    <x:row r="34" ht="22" customHeight="1">
      <x:c r="A34" s="64" t="str">
        <x:v>Sources</x:v>
      </x:c>
      <x:c r="B34" s="64"/>
      <x:c r="C34" s="64"/>
      <x:c r="D34" s="56" t="str">
        <x:v>Thirty primary URLs and what each supports, retained for later revalidation.</x:v>
      </x:c>
      <x:c r="E34" s="56"/>
      <x:c r="F34" s="56"/>
      <x:c r="G34" s="56"/>
      <x:c r="H34" s="56"/>
      <x:c r="I34" s="56"/>
      <x:c r="J34" s="56"/>
      <x:c r="K34" s="56"/>
      <x:c r="L34" s="56"/>
    </x:row>
    <x:row r="35" ht="22" customHeight="1">
      <x:c r="A35" s="70" t="str">
        <x:v>Glossary</x:v>
      </x:c>
      <x:c r="B35" s="70"/>
      <x:c r="C35" s="70"/>
      <x:c r="D35" s="67" t="str">
        <x:v>Expanded terms, protocol evidence codes and assessment definitions.</x:v>
      </x:c>
      <x:c r="E35" s="67"/>
      <x:c r="F35" s="67"/>
      <x:c r="G35" s="67"/>
      <x:c r="H35" s="67"/>
      <x:c r="I35" s="67"/>
      <x:c r="J35" s="67"/>
      <x:c r="K35" s="67"/>
      <x:c r="L35" s="67"/>
    </x:row>
    <x:row r="36" ht="22" customHeight="1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</x:row>
    <x:row r="37" ht="22" customHeight="1">
      <x:c r="A37" s="57" t="str">
        <x:v>BEFORE RELEASE: freeze versions and file hashes; preserve notices; confirm capture vantage, clocks and payload completeness; validate tag/register definitions and label semantics; author a reproducible answer key. Use offline analysis or isolated labs only—never replay these traces onto production control networks.</x:v>
      </x:c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</x:row>
    <x:row r="38" ht="22" customHeight="1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</x:row>
    <x:row r="39" ht="22" customHeight="1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</x:row>
    <x:row r="40" ht="22" customHeight="1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</x:row>
    <x:row r="41" ht="22" customHeight="1">
      <x:c r="A41" s="10" t="str">
        <x:v>OWNERSHIP NOTE: Public access is not a blanket redistribution grant. Software licenses do not automatically determine the rights in captured output. This workbook is a research and curation aid, not legal clearance or a validated performance benchmark.</x:v>
      </x:c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</x:row>
    <x:row r="42" ht="22" customHeight="1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</x:row>
    <x:row r="43" ht="22" customHeight="1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</x:row>
    <x:row r="44" ht="22" customHeight="1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</x:row>
    <x:row r="45" ht="22" customHeight="1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</x:row>
    <x:row r="46" ht="22" customHeight="1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</x:row>
  </x:sheetData>
  <x:mergeCells>
    <x:mergeCell ref="A1:L2"/>
    <x:mergeCell ref="A3:L4"/>
    <x:mergeCell ref="A5:L5"/>
    <x:mergeCell ref="A7:C7"/>
    <x:mergeCell ref="A8:C10"/>
    <x:mergeCell ref="D7:F7"/>
    <x:mergeCell ref="D8:F10"/>
    <x:mergeCell ref="G7:I7"/>
    <x:mergeCell ref="G8:I10"/>
    <x:mergeCell ref="J7:L7"/>
    <x:mergeCell ref="J8:L10"/>
    <x:mergeCell ref="A12:L13"/>
    <x:mergeCell ref="A15:F15"/>
    <x:mergeCell ref="G15:L15"/>
    <x:mergeCell ref="A16:F19"/>
    <x:mergeCell ref="G16:L19"/>
    <x:mergeCell ref="A21:D21"/>
    <x:mergeCell ref="G21:K21"/>
    <x:mergeCell ref="A22:D22"/>
    <x:mergeCell ref="G22:K22"/>
    <x:mergeCell ref="A24:L25"/>
    <x:mergeCell ref="A27:L27"/>
    <x:mergeCell ref="A28:C28"/>
    <x:mergeCell ref="D28:L28"/>
    <x:mergeCell ref="A29:C29"/>
    <x:mergeCell ref="D29:L29"/>
    <x:mergeCell ref="A30:C30"/>
    <x:mergeCell ref="D30:L30"/>
    <x:mergeCell ref="A31:C31"/>
    <x:mergeCell ref="D31:L31"/>
    <x:mergeCell ref="A32:C32"/>
    <x:mergeCell ref="D32:L32"/>
    <x:mergeCell ref="A33:C33"/>
    <x:mergeCell ref="D33:L33"/>
    <x:mergeCell ref="A34:C34"/>
    <x:mergeCell ref="D34:L34"/>
    <x:mergeCell ref="A35:C35"/>
    <x:mergeCell ref="D35:L35"/>
    <x:mergeCell ref="A37:L39"/>
    <x:mergeCell ref="A41:L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4" hidden="0" customWidth="1"/>
    <x:col min="4" max="4" width="32" hidden="0" customWidth="1"/>
    <x:col min="5" max="5" width="38" hidden="0" customWidth="1"/>
    <x:col min="6" max="6" width="38" hidden="0" customWidth="1"/>
    <x:col min="7" max="7" width="24" hidden="0" customWidth="1"/>
    <x:col min="8" max="8" width="24" hidden="0" customWidth="1"/>
    <x:col min="9" max="9" width="32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24" hidden="0" customWidth="1"/>
    <x:col min="15" max="15" width="38" hidden="0" customWidth="1"/>
    <x:col min="16" max="16" width="24" hidden="0" customWidth="1"/>
    <x:col min="17" max="17" width="24" hidden="0" customWidth="1"/>
    <x:col min="18" max="18" width="38" hidden="0" customWidth="1"/>
    <x:col min="19" max="19" width="24" hidden="0" customWidth="1"/>
    <x:col min="20" max="20" width="24" hidden="0" customWidth="1"/>
    <x:col min="21" max="21" width="38" hidden="0" customWidth="1"/>
    <x:col min="22" max="22" width="24" hidden="0" customWidth="1"/>
    <x:col min="23" max="23" width="38" hidden="0" customWidth="1"/>
    <x:col min="24" max="24" width="38" hidden="0" customWidth="1"/>
    <x:col min="25" max="25" width="15" hidden="0" customWidth="1"/>
  </x:cols>
  <x:sheetData>
    <x:row r="1" ht="22" customHeight="1">
      <x:c r="A1" s="4" t="str">
        <x:v>MASTER MATRIX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0" customHeight="1">
      <x:c r="A3" s="10" t="str">
        <x:v>All 12 resource families • all requested fields • filter by category, rights gate or adoption action.</x:v>
      </x:c>
      <x:c r="B3" s="10"/>
      <x:c r="C3" s="10"/>
      <x:c r="D3" s="10"/>
      <x:c r="E3" s="10"/>
      <x:c r="F3" s="10"/>
      <x:c r="G3" s="10"/>
      <x:c r="H3" s="10"/>
    </x:row>
    <x:row r="4" ht="20" customHeight="1">
      <x:c r="A4" s="10"/>
      <x:c r="B4" s="10"/>
      <x:c r="C4" s="10"/>
      <x:c r="D4" s="10"/>
      <x:c r="E4" s="10"/>
      <x:c r="F4" s="10"/>
      <x:c r="G4" s="10"/>
      <x:c r="H4" s="10"/>
    </x:row>
    <x:row r="6" ht="34" customHeight="1">
      <x:c r="A6" s="23" t="str">
        <x:v>ID</x:v>
      </x:c>
      <x:c r="B6" s="23" t="str">
        <x:v>Resource / scope</x:v>
      </x:c>
      <x:c r="C6" s="23" t="str">
        <x:v>Category</x:v>
      </x:c>
      <x:c r="D6" s="23" t="str">
        <x:v>Sector / process</x:v>
      </x:c>
      <x:c r="E6" s="23" t="str">
        <x:v>Device types</x:v>
      </x:c>
      <x:c r="F6" s="23" t="str">
        <x:v>Protocol coverage</x:v>
      </x:c>
      <x:c r="G6" s="23" t="str">
        <x:v>Protocol evidence</x:v>
      </x:c>
      <x:c r="H6" s="23" t="str">
        <x:v>PCAP availability</x:v>
      </x:c>
      <x:c r="I6" s="23" t="str">
        <x:v>Other data formats</x:v>
      </x:c>
      <x:c r="J6" s="23" t="str">
        <x:v>Physical-process ground truth</x:v>
      </x:c>
      <x:c r="K6" s="23" t="str">
        <x:v>Attack labels / semantics</x:v>
      </x:c>
      <x:c r="L6" s="23" t="str">
        <x:v>Topology / configuration</x:v>
      </x:c>
      <x:c r="M6" s="23" t="str">
        <x:v>License / terms</x:v>
      </x:c>
      <x:c r="N6" s="23" t="str">
        <x:v>Redistribution gate</x:v>
      </x:c>
      <x:c r="O6" s="23" t="str">
        <x:v>Access / release caveat</x:v>
      </x:c>
      <x:c r="P6" s="23" t="str">
        <x:v>Network realism</x:v>
      </x:c>
      <x:c r="Q6" s="23" t="str">
        <x:v>Process realism</x:v>
      </x:c>
      <x:c r="R6" s="23" t="str">
        <x:v>Operational realism caveat</x:v>
      </x:c>
      <x:c r="S6" s="23" t="str">
        <x:v>Participant difficulty</x:v>
      </x:c>
      <x:c r="T6" s="23" t="str">
        <x:v>Organizer effort</x:v>
      </x:c>
      <x:c r="U6" s="23" t="str">
        <x:v>Build-a-thon suitability</x:v>
      </x:c>
      <x:c r="V6" s="23" t="str">
        <x:v>Adoption action</x:v>
      </x:c>
      <x:c r="W6" s="23" t="str">
        <x:v>Primary sources</x:v>
      </x:c>
      <x:c r="X6" s="23" t="str">
        <x:v>Rights sources</x:v>
      </x:c>
      <x:c r="Y6" s="23" t="str">
        <x:v>Verified</x:v>
      </x:c>
    </x:row>
    <x:row r="7" ht="132" customHeight="1">
      <x:c r="A7" s="16" t="str">
        <x:v>R01</x:v>
      </x:c>
      <x:c r="B7" s="16" t="str">
        <x:v>Graphical Realism Framework for Industrial Control Simulations version 3 (GRFICSv3)</x:v>
      </x:c>
      <x:c r="C7" s="16" t="str">
        <x:v>Generator</x:v>
      </x:c>
      <x:c r="D7" s="16" t="str">
        <x:v>Chemical-process simulation</x:v>
      </x:c>
      <x:c r="E7" s="16" t="str">
        <x:v>Programmable Logic Controller (PLC); Human-Machine Interface (HMI); engineering station; simulated process devices; firewall and monitoring</x:v>
      </x:c>
      <x:c r="F7" s="16" t="str">
        <x:v>Modbus over Transmission Control Protocol (Modbus TCP) is configured; other bundled services require validation</x:v>
      </x:c>
      <x:c r="G7" s="16" t="str">
        <x:v>Configuration verified; no generated capture inspected</x:v>
      </x:c>
      <x:c r="H7" s="16" t="str">
        <x:v>Generate locally; not a packaged labeled PCAP dataset</x:v>
      </x:c>
      <x:c r="I7" s="16" t="str">
        <x:v>Simulator state and component logs; export/instrumentation required</x:v>
      </x:c>
      <x:c r="J7" s="16" t="str">
        <x:v>Simulated dynamic process; export the simulator state separately from potentially manipulated controller readings</x:v>
      </x:c>
      <x:c r="K7" s="16" t="str">
        <x:v>No ready-made event ground truth; author scenario IDs, start/end times and affected tags</x:v>
      </x:c>
      <x:c r="L7" s="16" t="str">
        <x:v>Compose segmentation, addresses and device configuration supplied</x:v>
      </x:c>
      <x:c r="M7" s="16" t="str">
        <x:v>GNU General Public License version 3 (GPL-3.0) repository; dependencies may differ</x:v>
      </x:c>
      <x:c r="N7" s="16" t="str">
        <x:v>Own-output review</x:v>
      </x:c>
      <x:c r="O7" s="16" t="str">
        <x:v>Public code; pin commit and images. Bundled PLC runtime is not necessarily standalone OpenPLC v4</x:v>
      </x:c>
      <x:c r="P7" s="16" t="str">
        <x:v>Real protocol implementations in virtual lab; fidelity requires capture validation</x:v>
      </x:c>
      <x:c r="Q7" s="16" t="str">
        <x:v>Dynamic simulation; not measurements from a physical production plant</x:v>
      </x:c>
      <x:c r="R7" s="16" t="str">
        <x:v>Rare operator, maintenance and fault events must be deliberately scripted</x:v>
      </x:c>
      <x:c r="S7" s="16" t="str">
        <x:v>Intermediate</x:v>
      </x:c>
      <x:c r="T7" s="16" t="str">
        <x:v>Advanced</x:v>
      </x:c>
      <x:c r="U7" s="16" t="str">
        <x:v>Core custom cyber-physical track: synchronized PCAP, process values, events and answer keys</x:v>
      </x:c>
      <x:c r="V7" s="16" t="str">
        <x:v>Build &amp; validate</x:v>
      </x:c>
      <x:c r="W7" s="16" t="str">
        <x:v>https://github.com/Fortiphyd/GRFICSv3
https://raw.githubusercontent.com/Fortiphyd/GRFICSv3/main/plc/mbconfig.cfg
https://raw.githubusercontent.com/Fortiphyd/GRFICSv3/main/docker-compose.yml</x:v>
      </x:c>
      <x:c r="X7" s="16" t="str">
        <x:v>https://raw.githubusercontent.com/Fortiphyd/GRFICSv3/main/LICENSE</x:v>
      </x:c>
      <x:c r="Y7" s="28" t="n">
        <x:v>46292</x:v>
      </x:c>
    </x:row>
    <x:row r="8" ht="132" customHeight="1">
      <x:c r="A8" s="16" t="str">
        <x:v>R02</x:v>
      </x:c>
      <x:c r="B8" s="16" t="str">
        <x:v>OpenPLC Runtime v4</x:v>
      </x:c>
      <x:c r="C8" s="16" t="str">
        <x:v>Generator</x:v>
      </x:c>
      <x:c r="D8" s="16" t="str">
        <x:v>User-defined industrial process</x:v>
      </x:c>
      <x:c r="E8" s="16" t="str">
        <x:v>Software PLC; physical or virtual inputs/outputs; external HMI and plant supplied by builder</x:v>
      </x:c>
      <x:c r="F8" s="16" t="str">
        <x:v>Modbus master/slave, Open Platform Communications Unified Architecture (OPC UA), S7comm and EtherCAT plugins listed</x:v>
      </x:c>
      <x:c r="G8" s="16" t="str">
        <x:v>Plugin manifest verified; feature support is not proof of configured, captured traffic</x:v>
      </x:c>
      <x:c r="H8" s="16" t="str">
        <x:v>Generate locally with clients and capture point</x:v>
      </x:c>
      <x:c r="I8" s="16" t="str">
        <x:v>Controller variables and runtime logs; user must export</x:v>
      </x:c>
      <x:c r="J8" s="16" t="str">
        <x:v>None inherent; attach a physical process or simulation</x:v>
      </x:c>
      <x:c r="K8" s="16" t="str">
        <x:v>No dataset labels; event oracle must be authored</x:v>
      </x:c>
      <x:c r="L8" s="16" t="str">
        <x:v>Runtime configuration supplied; plant network, tag map and physical model are user-defined</x:v>
      </x:c>
      <x:c r="M8" s="16" t="str">
        <x:v>MIT license for current runtime; editor/plugins/dependencies and legacy versions need separate checks</x:v>
      </x:c>
      <x:c r="N8" s="16" t="str">
        <x:v>Own-output review</x:v>
      </x:c>
      <x:c r="O8" s="16" t="str">
        <x:v>Public code; headless version 4 differs from older web-based versions</x:v>
      </x:c>
      <x:c r="P8" s="16" t="str">
        <x:v>Controller implementation; depends on plugin configuration and clients</x:v>
      </x:c>
      <x:c r="Q8" s="16" t="str">
        <x:v>None standalone; entirely integration-dependent</x:v>
      </x:c>
      <x:c r="R8" s="16" t="str">
        <x:v>A functioning controller is not a complete operating plant</x:v>
      </x:c>
      <x:c r="S8" s="16" t="str">
        <x:v>Intermediate</x:v>
      </x:c>
      <x:c r="T8" s="16" t="str">
        <x:v>Advanced</x:v>
      </x:c>
      <x:c r="U8" s="16" t="str">
        <x:v>Builder track for protocol clients, controller instrumentation and custom process integration</x:v>
      </x:c>
      <x:c r="V8" s="16" t="str">
        <x:v>Build &amp; validate</x:v>
      </x:c>
      <x:c r="W8" s="16" t="str">
        <x:v>https://github.com/Autonomy-Logic/openplc-runtime
https://raw.githubusercontent.com/Autonomy-Logic/openplc-runtime/main/plugins_default.conf</x:v>
      </x:c>
      <x:c r="X8" s="16" t="str">
        <x:v>https://raw.githubusercontent.com/Autonomy-Logic/openplc-runtime/main/LICENSE</x:v>
      </x:c>
      <x:c r="Y8" s="28" t="n">
        <x:v>46292</x:v>
      </x:c>
    </x:row>
    <x:row r="9" ht="132" customHeight="1">
      <x:c r="A9" s="16" t="str">
        <x:v>R03</x:v>
      </x:c>
      <x:c r="B9" s="16" t="str">
        <x:v>Conpot</x:v>
      </x:c>
      <x:c r="C9" s="16" t="str">
        <x:v>Generator</x:v>
      </x:c>
      <x:c r="D9" s="16" t="str">
        <x:v>Industrial-service emulation; generic industrial / building / utility endpoints</x:v>
      </x:c>
      <x:c r="E9" s="16" t="str">
        <x:v>Emulated PLC or industrial service endpoints; no physical plant</x:v>
      </x:c>
      <x:c r="F9" s="16" t="str">
        <x:v>Template-dependent Modbus, S7comm, EtherNet/IP, BACnet, IEC 60870-5-104 and meter protocols</x:v>
      </x:c>
      <x:c r="G9" s="16" t="str">
        <x:v>Documented emulated services; do not assume full vendor stack or cyclic I/O</x:v>
      </x:c>
      <x:c r="H9" s="16" t="str">
        <x:v>Generate locally; runtime logs are not packet captures</x:v>
      </x:c>
      <x:c r="I9" s="16" t="str">
        <x:v>Service interaction logs and templates</x:v>
      </x:c>
      <x:c r="J9" s="16" t="str">
        <x:v>No physical-process ground truth out of the box</x:v>
      </x:c>
      <x:c r="K9" s="16" t="str">
        <x:v>No inherent validated attack labels; requests and service logs need interpretation</x:v>
      </x:c>
      <x:c r="L9" s="16" t="str">
        <x:v>Endpoint templates supplied; multi-host topology is user-built</x:v>
      </x:c>
      <x:c r="M9" s="16" t="str">
        <x:v>GNU General Public License version 2 (GPL-2.0) repository</x:v>
      </x:c>
      <x:c r="N9" s="16" t="str">
        <x:v>Own-output review</x:v>
      </x:c>
      <x:c r="O9" s="16" t="str">
        <x:v>Public code; capture only authorized isolated-lab interactions</x:v>
      </x:c>
      <x:c r="P9" s="16" t="str">
        <x:v>Useful endpoint/service behavior; limited fidelity compared with real controllers</x:v>
      </x:c>
      <x:c r="Q9" s="16" t="str">
        <x:v>Low: no causal process model</x:v>
      </x:c>
      <x:c r="R9" s="16" t="str">
        <x:v>Not suitable alone as a clean, authentic production baseline</x:v>
      </x:c>
      <x:c r="S9" s="16" t="str">
        <x:v>Beginner–intermediate</x:v>
      </x:c>
      <x:c r="T9" s="16" t="str">
        <x:v>Intermediate</x:v>
      </x:c>
      <x:c r="U9" s="16" t="str">
        <x:v>Introductory discovery, parsing and service-fingerprinting track</x:v>
      </x:c>
      <x:c r="V9" s="16" t="str">
        <x:v>Build &amp; validate</x:v>
      </x:c>
      <x:c r="W9" s="16" t="str">
        <x:v>https://github.com/mushorg/conpot
https://conpot.readthedocs.io/en/latest/</x:v>
      </x:c>
      <x:c r="X9" s="16" t="str">
        <x:v>https://raw.githubusercontent.com/mushorg/conpot/main/LICENSE.txt</x:v>
      </x:c>
      <x:c r="Y9" s="28" t="n">
        <x:v>46292</x:v>
      </x:c>
    </x:row>
    <x:row r="10" ht="132" customHeight="1">
      <x:c r="A10" s="16" t="str">
        <x:v>R04</x:v>
      </x:c>
      <x:c r="B10" s="16" t="str">
        <x:v>Secure Water Treatment (SWaT)</x:v>
      </x:c>
      <x:c r="C10" s="16" t="str">
        <x:v>Dataset / capture</x:v>
      </x:c>
      <x:c r="D10" s="16" t="str">
        <x:v>Six-stage physical water-treatment testbed</x:v>
      </x:c>
      <x:c r="E10" s="16" t="str">
        <x:v>PLCs; remote Input/Output (I/O); HMI; Supervisory Control and Data Acquisition (SCADA); historian; pumps, valves and sensors</x:v>
      </x:c>
      <x:c r="F10" s="16" t="str">
        <x:v>EtherNet/IP documented for lab; exact per-edition wire inventory still needs decoding</x:v>
      </x:c>
      <x:c r="G10" s="16" t="str">
        <x:v>Owner testbed architecture; not a full packet-level verification</x:v>
      </x:c>
      <x:c r="H10" s="16" t="str">
        <x:v>Request-gated; A6 explicitly includes PCAP + historian. Availability varies by edition</x:v>
      </x:c>
      <x:c r="I10" s="16" t="str">
        <x:v>Historian comma-separated values (CSV); labels and attack descriptions, edition-dependent</x:v>
      </x:c>
      <x:c r="J10" s="16" t="str">
        <x:v>Measured laboratory telemetry; not automatically independent truth during sensor manipulation</x:v>
      </x:c>
      <x:c r="K10" s="16" t="str">
        <x:v>Attack windows / labels in attacked releases; A6 has six documented attacks; December 2023 release is attack-free</x:v>
      </x:c>
      <x:c r="L10" s="16" t="str">
        <x:v>Owner physical and network diagrams; exact per-release asset/tag mapping must be checked</x:v>
      </x:c>
      <x:c r="M10" s="16" t="str">
        <x:v>Custom iTrust terms; attribution, publication notice and requester disclosure</x:v>
      </x:c>
      <x:c r="N10" s="16" t="str">
        <x:v>Permission required</x:v>
      </x:c>
      <x:c r="O10" s="16" t="str">
        <x:v>No private or public onward sharing. A6 is a manageable candidate; newer 2026 releases need content review</x:v>
      </x:c>
      <x:c r="P10" s="16" t="str">
        <x:v>Authentic industrial devices and lab communications</x:v>
      </x:c>
      <x:c r="Q10" s="16" t="str">
        <x:v>High physical-lab fidelity; scale and operating modes differ from production</x:v>
      </x:c>
      <x:c r="R10" s="16" t="str">
        <x:v>Do not mix release identities, attack labels or normal periods across editions</x:v>
      </x:c>
      <x:c r="S10" s="16" t="str">
        <x:v>Intermediate–advanced</x:v>
      </x:c>
      <x:c r="T10" s="16" t="str">
        <x:v>Intermediate–advanced</x:v>
      </x:c>
      <x:c r="U10" s="16" t="str">
        <x:v>Strong integrated packet/process investigation after written team/event permission</x:v>
      </x:c>
      <x:c r="V10" s="16" t="str">
        <x:v>Permission required</x:v>
      </x:c>
      <x:c r="W10" s="16" t="str">
        <x:v>https://www.sutd.edu.sg/itrust/itrust-labs/datasets/dataset-characteristics/swat/
https://www.sutd.edu.sg/itrust/swat/
https://www.sutd.edu.sg/itrust/itrust-labs/datasets/summary-of-available-datasets/</x:v>
      </x:c>
      <x:c r="X10" s="16" t="str">
        <x:v>https://www.sutd.edu.sg/itrust/itrust-labs/datasets/terms-of-usage/</x:v>
      </x:c>
      <x:c r="Y10" s="28" t="n">
        <x:v>46292</x:v>
      </x:c>
    </x:row>
    <x:row r="11" ht="132" customHeight="1">
      <x:c r="A11" s="16" t="str">
        <x:v>R05</x:v>
      </x:c>
      <x:c r="B11" s="16" t="str">
        <x:v>Water Distribution (WADI)</x:v>
      </x:c>
      <x:c r="C11" s="16" t="str">
        <x:v>Dataset / capture</x:v>
      </x:c>
      <x:c r="D11" s="16" t="str">
        <x:v>Physical water-distribution testbed</x:v>
      </x:c>
      <x:c r="E11" s="16" t="str">
        <x:v>PLCs; remote I/O; Remote Terminal Units (RTUs); gateways; SCADA; historian; tanks, pumps and valves</x:v>
      </x:c>
      <x:c r="F11" s="16" t="str">
        <x:v>EtherNet/IP and Modbus documented for lab; per-edition packet inventory unverified</x:v>
      </x:c>
      <x:c r="G11" s="16" t="str">
        <x:v>Owner architecture, not evidence that every protocol appears in every release</x:v>
      </x:c>
      <x:c r="H11" s="16" t="str">
        <x:v>Confirmed for A3 December 2023, attack-free. Raw PCAP not confirmed in A1/A2 packages</x:v>
      </x:c>
      <x:c r="I11" s="16" t="str">
        <x:v>Sensor/actuator CSV; 123 channels in A1; historian synchronized with A3 PCAP</x:v>
      </x:c>
      <x:c r="J11" s="16" t="str">
        <x:v>Measured physical distribution process; sensor telemetry is not necessarily independent truth</x:v>
      </x:c>
      <x:c r="K11" s="16" t="str">
        <x:v>A1 has 15 attacks; corrected A2 uses -1=attack, +1=normal. A3 has no attacks</x:v>
      </x:c>
      <x:c r="L11" s="16" t="str">
        <x:v>Owner process and network diagrams; exact capture vantage and tag dictionary need release inspection</x:v>
      </x:c>
      <x:c r="M11" s="16" t="str">
        <x:v>Same custom iTrust terms as SWaT</x:v>
      </x:c>
      <x:c r="N11" s="16" t="str">
        <x:v>Permission required</x:v>
      </x:c>
      <x:c r="O11" s="16" t="str">
        <x:v>A3 alone is approximately 335 GB; never align 2017 attacks with 2023 PCAP as one incident</x:v>
      </x:c>
      <x:c r="P11" s="16" t="str">
        <x:v>Authentic physical-lab traffic</x:v>
      </x:c>
      <x:c r="Q11" s="16" t="str">
        <x:v>High physical-lab fidelity</x:v>
      </x:c>
      <x:c r="R11" s="16" t="str">
        <x:v>Large normal-only capture is not a labeled network attack corpus</x:v>
      </x:c>
      <x:c r="S11" s="16" t="str">
        <x:v>Advanced</x:v>
      </x:c>
      <x:c r="T11" s="16" t="str">
        <x:v>Advanced</x:v>
      </x:c>
      <x:c r="U11" s="16" t="str">
        <x:v>Baseline learning and cross-system process modeling; attacked process-only track using A1/A2</x:v>
      </x:c>
      <x:c r="V11" s="16" t="str">
        <x:v>Permission required</x:v>
      </x:c>
      <x:c r="W11" s="16" t="str">
        <x:v>https://www.sutd.edu.sg/itrust/itrust-labs/datasets/dataset-characteristics/wadi/
https://www.sutd.edu.sg/itrust/wadi/
https://www.sutd.edu.sg/itrust/itrust-labs/datasets/summary-of-available-datasets/</x:v>
      </x:c>
      <x:c r="X11" s="16" t="str">
        <x:v>https://www.sutd.edu.sg/itrust/itrust-labs/datasets/terms-of-usage/</x:v>
      </x:c>
      <x:c r="Y11" s="28" t="n">
        <x:v>46292</x:v>
      </x:c>
    </x:row>
    <x:row r="12" ht="132" customHeight="1">
      <x:c r="A12" s="16" t="str">
        <x:v>R06</x:v>
      </x:c>
      <x:c r="B12" s="16" t="str">
        <x:v>Hardware-in-the-Loop-based Augmented ICS (HAI) / HAIEnd</x:v>
      </x:c>
      <x:c r="C12" s="16" t="str">
        <x:v>Dataset / capture</x:v>
      </x:c>
      <x:c r="D12" s="16" t="str">
        <x:v>Boiler, turbine, water treatment and simulated power generation</x:v>
      </x:c>
      <x:c r="E12" s="16" t="str">
        <x:v>GE and Emerson Distributed Control Systems (DCSs); Siemens PLCs; remote I/O; OPC UA gateway; hardware-in-the-loop simulator</x:v>
      </x:c>
      <x:c r="F12" s="16" t="str">
        <x:v>OPC UA acquisition documented; released CSV does not establish packet-level protocol coverage</x:v>
      </x:c>
      <x:c r="G12" s="16" t="str">
        <x:v>Acquisition architecture only; no raw protocol capture in described release</x:v>
      </x:c>
      <x:c r="H12" s="16" t="str">
        <x:v>No PCAP in described repository dataset releases</x:v>
      </x:c>
      <x:c r="I12" s="16" t="str">
        <x:v>Compressed CSV time series; HAIEnd internal boiler-control points; NetworkX graphs</x:v>
      </x:c>
      <x:c r="J12" s="16" t="str">
        <x:v>Measured lab variables coupled to Hardware-in-the-Loop (HIL) simulation</x:v>
      </x:c>
      <x:c r="K12" s="16" t="str">
        <x:v>Global attack flag; per-process flags removed from 22.04. HAIEnd 23.05 collected alongside HAI 23.05</x:v>
      </x:c>
      <x:c r="L12" s="16" t="str">
        <x:v>Published control/process graphs and linked technical manual; not a packet-level topology audit</x:v>
      </x:c>
      <x:c r="M12" s="16" t="str">
        <x:v>Conflicting notices: CC BY-SA 4.0 in license section; CC BY 4.0 in metadata</x:v>
      </x:c>
      <x:c r="N12" s="16" t="str">
        <x:v>License clarification</x:v>
      </x:c>
      <x:c r="O12" s="16" t="str">
        <x:v>Public downloads; Git Large File Storage needed from 22.04; preserve file/run boundaries</x:v>
      </x:c>
      <x:c r="P12" s="16" t="str">
        <x:v>Not assessable from process-only CSV</x:v>
      </x:c>
      <x:c r="Q12" s="16" t="str">
        <x:v>High lab/HIL value for coupled-variable analysis; not wholly physical production</x:v>
      </x:c>
      <x:c r="R12" s="16" t="str">
        <x:v>Labels and signal sets vary by release; avoid random row splits that leak adjacent time periods</x:v>
      </x:c>
      <x:c r="S12" s="16" t="str">
        <x:v>Intermediate–advanced</x:v>
      </x:c>
      <x:c r="T12" s="16" t="str">
        <x:v>Intermediate</x:v>
      </x:c>
      <x:c r="U12" s="16" t="str">
        <x:v>Process-anomaly and explainable-detection track; not packet forensics</x:v>
      </x:c>
      <x:c r="V12" s="16" t="str">
        <x:v>License clarification</x:v>
      </x:c>
      <x:c r="W12" s="16" t="str">
        <x:v>https://github.com/icsdataset/hai</x:v>
      </x:c>
      <x:c r="X12" s="16" t="str">
        <x:v>https://github.com/icsdataset/hai</x:v>
      </x:c>
      <x:c r="Y12" s="28" t="n">
        <x:v>46292</x:v>
      </x:c>
    </x:row>
    <x:row r="13" ht="132" customHeight="1">
      <x:c r="A13" s="16" t="str">
        <x:v>R07</x:v>
      </x:c>
      <x:c r="B13" s="16" t="str">
        <x:v>IEC61850SecurityDataset</x:v>
      </x:c>
      <x:c r="C13" s="16" t="str">
        <x:v>Dataset / capture</x:v>
      </x:c>
      <x:c r="D13" s="16" t="str">
        <x:v>Synthesized electrical substation</x:v>
      </x:c>
      <x:c r="E13" s="16" t="str">
        <x:v>18 simulated Intelligent Electronic Devices (IEDs), four buses and protection/breaker functions</x:v>
      </x:c>
      <x:c r="F13" s="16" t="str">
        <x:v>International Electrotechnical Commission (IEC) 61850 Generic Object Oriented Substation Event (GOOSE)</x:v>
      </x:c>
      <x:c r="G13" s="16" t="str">
        <x:v>Dataset explicitly describes GOOSE; Manufacturing Message Specification and Sampled Values not established</x:v>
      </x:c>
      <x:c r="H13" s="16" t="str">
        <x:v>Provided as PCAP Next Generation (PCAPNG)</x:v>
      </x:c>
      <x:c r="I13" s="16" t="str">
        <x:v>Per-IED CSV, 18 configuration files and one-line diagram</x:v>
      </x:c>
      <x:c r="J13" s="16" t="str">
        <x:v>Baseline transmitted values / synthesized process context. Attack CSV files reuse normal baseline</x:v>
      </x:c>
      <x:c r="K13" s="16" t="str">
        <x:v>Scenario folders plus attack frame/time references; includes normal and legitimate electrical disturbances</x:v>
      </x:c>
      <x:c r="L13" s="16" t="str">
        <x:v>One-line diagram and instantiated IED configuration files</x:v>
      </x:c>
      <x:c r="M13" s="16" t="str">
        <x:v>No explicit reuse license found in reviewed repository tree; download/citation wording is not a redistribution grant</x:v>
      </x:c>
      <x:c r="N13" s="16" t="str">
        <x:v>Permission required</x:v>
      </x:c>
      <x:c r="O13" s="16" t="str">
        <x:v>Public download; obtain owner permission before bundling into company training</x:v>
      </x:c>
      <x:c r="P13" s="16" t="str">
        <x:v>Synthesized protocol traces with explicit electrical-event scenarios</x:v>
      </x:c>
      <x:c r="Q13" s="16" t="str">
        <x:v>Limited attack-effect truth: baseline CSV cannot prove post-attack physical consequences</x:v>
      </x:c>
      <x:c r="R13" s="16" t="str">
        <x:v>Do not portray all disturbances as attacks or baseline CSV as independent incident ground truth</x:v>
      </x:c>
      <x:c r="S13" s="16" t="str">
        <x:v>Intermediate–advanced</x:v>
      </x:c>
      <x:c r="T13" s="16" t="str">
        <x:v>Intermediate</x:v>
      </x:c>
      <x:c r="U13" s="16" t="str">
        <x:v>Electrical protocol/state-sequence CTF and benign-disturbance versus malicious-event analysis</x:v>
      </x:c>
      <x:c r="V13" s="16" t="str">
        <x:v>Permission required</x:v>
      </x:c>
      <x:c r="W13" s="16" t="str">
        <x:v>https://github.com/smartgridadsc/IEC61850SecurityDataset</x:v>
      </x:c>
      <x:c r="X13" s="16" t="str">
        <x:v>https://github.com/smartgridadsc/IEC61850SecurityDataset</x:v>
      </x:c>
      <x:c r="Y13" s="28" t="n">
        <x:v>46292</x:v>
      </x:c>
    </x:row>
    <x:row r="14" ht="132" customHeight="1">
      <x:c r="A14" s="16" t="str">
        <x:v>R08</x:v>
      </x:c>
      <x:c r="B14" s="16" t="str">
        <x:v>KNX contextual datasets</x:v>
      </x:c>
      <x:c r="C14" s="16" t="str">
        <x:v>Dataset / capture</x:v>
      </x:c>
      <x:c r="D14" s="16" t="str">
        <x:v>Real residential building automation</x:v>
      </x:c>
      <x:c r="E14" s="16" t="str">
        <x:v>Motion, temperature and light sensors; lighting/blind/heating actuators; touch panels and alarms</x:v>
      </x:c>
      <x:c r="F14" s="16" t="str">
        <x:v>KNX twisted-pair bus telegrams; do not assume KNXnet/IP Ethernet framing</x:v>
      </x:c>
      <x:c r="G14" s="16" t="str">
        <x:v>Owner describes bus capture; capture link type still needs file inspection</x:v>
      </x:c>
      <x:c r="H14" s="16" t="str">
        <x:v>Provided PCAP plus enriched CSV</x:v>
      </x:c>
      <x:c r="I14" s="16" t="str">
        <x:v>Engineering context: source/destination, location, function, values and Target field</x:v>
      </x:c>
      <x:c r="J14" s="16" t="str">
        <x:v>Real installation context and observations; no separate synchronized physical historian established</x:v>
      </x:c>
      <x:c r="K14" s="16" t="str">
        <x:v>Target=1 includes attacks AND system responses. Captured attack sessions are merged into baseline with modified timestamps</x:v>
      </x:c>
      <x:c r="L14" s="16" t="str">
        <x:v>Engineering-tool metadata and device context; not a full conventional IP topology</x:v>
      </x:c>
      <x:c r="M14" s="16" t="str">
        <x:v>MIT repository license; review external mirror terms separately</x:v>
      </x:c>
      <x:c r="N14" s="16" t="str">
        <x:v>Attribution / review</x:v>
      </x:c>
      <x:c r="O14" s="16" t="str">
        <x:v>Public repository; privacy review for occupancy/location patterns before distribution</x:v>
      </x:c>
      <x:c r="P14" s="16" t="str">
        <x:v>Real bus traffic, with reconstructed attack chronology</x:v>
      </x:c>
      <x:c r="Q14" s="16" t="str">
        <x:v>Real installation observations; no independent physical oracle</x:v>
      </x:c>
      <x:c r="R14" s="16" t="str">
        <x:v>Mixed timeline is not an uninterrupted natural attack recording</x:v>
      </x:c>
      <x:c r="S14" s="16" t="str">
        <x:v>Intermediate</x:v>
      </x:c>
      <x:c r="T14" s="16" t="str">
        <x:v>Intermediate</x:v>
      </x:c>
      <x:c r="U14" s="16" t="str">
        <x:v>Strong contextual detection and semantic-decoder track after notice/privacy checks</x:v>
      </x:c>
      <x:c r="V14" s="16" t="str">
        <x:v>Curate &amp; validate</x:v>
      </x:c>
      <x:c r="W14" s="16" t="str">
        <x:v>https://github.com/vgraveto/knx-datasets</x:v>
      </x:c>
      <x:c r="X14" s="16" t="str">
        <x:v>https://raw.githubusercontent.com/vgraveto/knx-datasets/main/LICENSE</x:v>
      </x:c>
      <x:c r="Y14" s="28" t="n">
        <x:v>46292</x:v>
      </x:c>
    </x:row>
    <x:row r="15" ht="132" customHeight="1">
      <x:c r="A15" s="16" t="str">
        <x:v>R09</x:v>
      </x:c>
      <x:c r="B15" s="16" t="str">
        <x:v>4SICS ICS Lab captures</x:v>
      </x:c>
      <x:c r="C15" s="16" t="str">
        <x:v>Dataset / capture</x:v>
      </x:c>
      <x:c r="D15" s="16" t="str">
        <x:v>Multi-vendor industrial conference lab, October 2015</x:v>
      </x:c>
      <x:c r="E15" s="16" t="str">
        <x:v>PLCs; RTUs; remote I/O; gateways; Windows clients; industrial switches and firewalls</x:v>
      </x:c>
      <x:c r="F15" s="16" t="str">
        <x:v>Inventory exposes Modbus, Siemens S7 and DNP3 service candidates; actual captured mix not fully decoded</x:v>
      </x:c>
      <x:c r="G15" s="16" t="str">
        <x:v>Device/service inventory only; a port listing does not prove packet coverage</x:v>
      </x:c>
      <x:c r="H15" s="16" t="str">
        <x:v>Three downloadable PCAPs; published sizes approximately 25 / 134 / 200 MB</x:v>
      </x:c>
      <x:c r="I15" s="16" t="str">
        <x:v>Device/service inventory and lab layout</x:v>
      </x:c>
      <x:c r="J15" s="16" t="str">
        <x:v>No synchronized physical-process truth supplied</x:v>
      </x:c>
      <x:c r="K15" s="16" t="str">
        <x:v>No curated per-event or per-packet attack labels; conference testing is mixed</x:v>
      </x:c>
      <x:c r="L15" s="16" t="str">
        <x:v>Inventory, addresses and physical layout/photos supplied</x:v>
      </x:c>
      <x:c r="M15" s="16" t="str">
        <x:v>Custom training/redistribution statement: credit CS3Sthlm and link Netresec</x:v>
      </x:c>
      <x:c r="N15" s="16" t="str">
        <x:v>Attribution / review</x:v>
      </x:c>
      <x:c r="O15" s="16" t="str">
        <x:v>Public download; statement contemplates training and redistribution with attribution, not a general software license</x:v>
      </x:c>
      <x:c r="P15" s="16" t="str">
        <x:v>Authentic heterogeneous industrial lab traffic</x:v>
      </x:c>
      <x:c r="Q15" s="16" t="str">
        <x:v>No measured process context suitable as independent truth</x:v>
      </x:c>
      <x:c r="R15" s="16" t="str">
        <x:v>Legacy conference lab is not a clean benign or modern production baseline</x:v>
      </x:c>
      <x:c r="S15" s="16" t="str">
        <x:v>Beginner–intermediate (curated)</x:v>
      </x:c>
      <x:c r="T15" s="16" t="str">
        <x:v>Intermediate</x:v>
      </x:c>
      <x:c r="U15" s="16" t="str">
        <x:v>Practical asset discovery, protocol inventory and mixed-traffic investigation</x:v>
      </x:c>
      <x:c r="V15" s="16" t="str">
        <x:v>Curate &amp; validate</x:v>
      </x:c>
      <x:c r="W15" s="16" t="str">
        <x:v>https://www.netresec.com/?page=PCAP4SICS</x:v>
      </x:c>
      <x:c r="X15" s="16" t="str">
        <x:v>https://www.netresec.com/?page=PCAP4SICS</x:v>
      </x:c>
      <x:c r="Y15" s="28" t="n">
        <x:v>46292</x:v>
      </x:c>
    </x:row>
    <x:row r="16" ht="132" customHeight="1">
      <x:c r="A16" s="16" t="str">
        <x:v>R10</x:v>
      </x:c>
      <x:c r="B16" s="16" t="str">
        <x:v>Digital Bond S4x15 ICS Village captures</x:v>
      </x:c>
      <x:c r="C16" s="16" t="str">
        <x:v>Dataset / capture</x:v>
      </x:c>
      <x:c r="D16" s="16" t="str">
        <x:v>Industrial Capture-the-Flag (CTF), January 2015</x:v>
      </x:c>
      <x:c r="E16" s="16" t="str">
        <x:v>MicroLogix and Modicon PLCs; Advantech; BACnet devices; iFIX client/server; Windows workstation</x:v>
      </x:c>
      <x:c r="F16" s="16" t="str">
        <x:v>BACnet explicitly named; candidate PLC protocols require PCAP decoding before claiming coverage</x:v>
      </x:c>
      <x:c r="G16" s="16" t="str">
        <x:v>Named capture files and device inventory; no full wire-level validation</x:v>
      </x:c>
      <x:c r="H16" s="16" t="str">
        <x:v>Eight downloadable device-oriented PCAPs</x:v>
      </x:c>
      <x:c r="I16" s="16" t="str">
        <x:v>Network diagram and host context</x:v>
      </x:c>
      <x:c r="J16" s="16" t="str">
        <x:v>No synchronized physical-process ground truth supplied</x:v>
      </x:c>
      <x:c r="K16" s="16" t="str">
        <x:v>CTF activity, but no complete machine-readable event labels found</x:v>
      </x:c>
      <x:c r="L16" s="16" t="str">
        <x:v>Network diagram and host-specific files</x:v>
      </x:c>
      <x:c r="M16" s="16" t="str">
        <x:v>Host received publication permission; no broad downstream redistribution grant found</x:v>
      </x:c>
      <x:c r="N16" s="16" t="str">
        <x:v>Permission required</x:v>
      </x:c>
      <x:c r="O16" s="16" t="str">
        <x:v>Public download does not establish company repackaging permission</x:v>
      </x:c>
      <x:c r="P16" s="16" t="str">
        <x:v>Authentic legacy mixed CTF activity</x:v>
      </x:c>
      <x:c r="Q16" s="16" t="str">
        <x:v>No process historian / physical oracle established</x:v>
      </x:c>
      <x:c r="R16" s="16" t="str">
        <x:v>Do not reuse as normal-only traffic; substantial context and answer-key curation needed</x:v>
      </x:c>
      <x:c r="S16" s="16" t="str">
        <x:v>Intermediate</x:v>
      </x:c>
      <x:c r="T16" s="16" t="str">
        <x:v>Intermediate–advanced</x:v>
      </x:c>
      <x:c r="U16" s="16" t="str">
        <x:v>Historical multi-host incident reconstruction after owner clearance</x:v>
      </x:c>
      <x:c r="V16" s="16" t="str">
        <x:v>Permission required</x:v>
      </x:c>
      <x:c r="W16" s="16" t="str">
        <x:v>https://www.netresec.com/?page=DigitalBond_S4</x:v>
      </x:c>
      <x:c r="X16" s="16" t="str">
        <x:v>https://www.netresec.com/?page=DigitalBond_S4</x:v>
      </x:c>
      <x:c r="Y16" s="28" t="n">
        <x:v>46292</x:v>
      </x:c>
    </x:row>
    <x:row r="17" ht="132" customHeight="1">
      <x:c r="A17" s="16" t="str">
        <x:v>R11</x:v>
      </x:c>
      <x:c r="B17" s="16" t="str">
        <x:v>National Institute of Standards and Technology (NIST) Special Publication (SP) 800-82</x:v>
      </x:c>
      <x:c r="C17" s="16" t="str">
        <x:v>Framework</x:v>
      </x:c>
      <x:c r="D17" s="16" t="str">
        <x:v>Cross-sector Operational Technology (OT) security</x:v>
      </x:c>
      <x:c r="E17" s="16" t="str">
        <x:v>Reference architectures cover controllers, supervisory systems and supporting infrastructure</x:v>
      </x:c>
      <x:c r="F17" s="16" t="str">
        <x:v>Broad protocol/security guidance; does not supply protocol traffic</x:v>
      </x:c>
      <x:c r="G17" s="16" t="str">
        <x:v>Guidance only</x:v>
      </x:c>
      <x:c r="H17" s="16" t="str">
        <x:v>Not applicable; no packet dataset</x:v>
      </x:c>
      <x:c r="I17" s="16" t="str">
        <x:v>Technical publication and architecture figures</x:v>
      </x:c>
      <x:c r="J17" s="16" t="str">
        <x:v>Not applicable</x:v>
      </x:c>
      <x:c r="K17" s="16" t="str">
        <x:v>Not attack labels; architectural/security concepts for exercise design</x:v>
      </x:c>
      <x:c r="L17" s="16" t="str">
        <x:v>Reference architecture diagrams, not a dataset-specific live topology</x:v>
      </x:c>
      <x:c r="M17" s="16" t="str">
        <x:v>NIST technical-publication reuse policy; third-party material exceptions apply</x:v>
      </x:c>
      <x:c r="N17" s="16" t="str">
        <x:v>Reference reuse</x:v>
      </x:c>
      <x:c r="O17" s="16" t="str">
        <x:v>Revision 3 final is baseline; Revision 4 initial public draft dated September 21, 2026</x:v>
      </x:c>
      <x:c r="P17" s="16" t="str">
        <x:v>Not applicable</x:v>
      </x:c>
      <x:c r="Q17" s="16" t="str">
        <x:v>Not applicable</x:v>
      </x:c>
      <x:c r="R17" s="16" t="str">
        <x:v>Draft guidance must not be represented as final requirements</x:v>
      </x:c>
      <x:c r="S17" s="16" t="str">
        <x:v>Foundational–advanced</x:v>
      </x:c>
      <x:c r="T17" s="16" t="str">
        <x:v>Low</x:v>
      </x:c>
      <x:c r="U17" s="16" t="str">
        <x:v>Curriculum, architecture and facilitator-review baseline</x:v>
      </x:c>
      <x:c r="V17" s="16" t="str">
        <x:v>Reference ready</x:v>
      </x:c>
      <x:c r="W17" s="16" t="str">
        <x:v>https://csrc.nist.gov/pubs/sp/800/82/r3/final
https://csrc.nist.gov/pubs/sp/800/82/r4/ipd</x:v>
      </x:c>
      <x:c r="X17" s="16" t="str">
        <x:v>https://www.nist.gov/open/copyright-fair-use-and-licensing-statements-srd-data-software-and-technical-series-publications</x:v>
      </x:c>
      <x:c r="Y17" s="28" t="n">
        <x:v>46292</x:v>
      </x:c>
    </x:row>
    <x:row r="18" ht="132" customHeight="1">
      <x:c r="A18" s="16" t="str">
        <x:v>R12</x:v>
      </x:c>
      <x:c r="B18" s="16" t="str">
        <x:v>MITRE ATT&amp;CK for ICS</x:v>
      </x:c>
      <x:c r="C18" s="16" t="str">
        <x:v>Framework</x:v>
      </x:c>
      <x:c r="D18" s="16" t="str">
        <x:v>Cross-sector industrial adversary behavior</x:v>
      </x:c>
      <x:c r="E18" s="16" t="str">
        <x:v>Industrial assets and systems described in knowledge base</x:v>
      </x:c>
      <x:c r="F18" s="16" t="str">
        <x:v>Taxonomy may reference protocols; no traffic samples supplied</x:v>
      </x:c>
      <x:c r="G18" s="16" t="str">
        <x:v>Structured knowledge, not measured traffic</x:v>
      </x:c>
      <x:c r="H18" s="16" t="str">
        <x:v>Not applicable; no packet dataset</x:v>
      </x:c>
      <x:c r="I18" s="16" t="str">
        <x:v>Structured Threat Information Expression (STIX) 2.1 knowledge collections</x:v>
      </x:c>
      <x:c r="J18" s="16" t="str">
        <x:v>Not applicable</x:v>
      </x:c>
      <x:c r="K18" s="16" t="str">
        <x:v>Technique identifiers support scenario tagging; they are not observed dataset labels</x:v>
      </x:c>
      <x:c r="L18" s="16" t="str">
        <x:v>Behavior / relationship model, not a physical network topology</x:v>
      </x:c>
      <x:c r="M18" s="16" t="str">
        <x:v>MITRE custom license permits research, development and commercial uses with notices</x:v>
      </x:c>
      <x:c r="N18" s="16" t="str">
        <x:v>Reference reuse</x:v>
      </x:c>
      <x:c r="O18" s="16" t="str">
        <x:v>Website version 19.2 at review; pin exact ICS collection/version and preserve notices</x:v>
      </x:c>
      <x:c r="P18" s="16" t="str">
        <x:v>Not applicable</x:v>
      </x:c>
      <x:c r="Q18" s="16" t="str">
        <x:v>Not applicable</x:v>
      </x:c>
      <x:c r="R18" s="16" t="str">
        <x:v>Mapping a technique is an analytical claim that requires evidence; it does not create ground truth</x:v>
      </x:c>
      <x:c r="S18" s="16" t="str">
        <x:v>Intermediate</x:v>
      </x:c>
      <x:c r="T18" s="16" t="str">
        <x:v>Low–intermediate</x:v>
      </x:c>
      <x:c r="U18" s="16" t="str">
        <x:v>Shared scenario vocabulary, evidence mapping and knowledge-graph developer tasks</x:v>
      </x:c>
      <x:c r="V18" s="16" t="str">
        <x:v>Reference ready</x:v>
      </x:c>
      <x:c r="W18" s="16" t="str">
        <x:v>https://attack.mitre.org/matrices/ics/
https://github.com/mitre-attack/attack-stix-data
https://attack.mitre.org/resources/versions/</x:v>
      </x:c>
      <x:c r="X18" s="16" t="str">
        <x:v>https://raw.githubusercontent.com/mitre-attack/attack-stix-data/master/LICENSE.txt
https://attack.mitre.org/resources/legal-and-branding/</x:v>
      </x:c>
      <x:c r="Y18" s="28" t="n">
        <x:v>46292</x:v>
      </x:c>
    </x:row>
  </x:sheetData>
  <x:mergeCells>
    <x:mergeCell ref="A1:H2"/>
    <x:mergeCell ref="A3:H4"/>
  </x:mergeCells>
  <x:conditionalFormatting sqref="N7:N18">
    <x:cfRule type="expression" dxfId="0" priority="1">
      <x:formula>$N7="Permission required"</x:formula>
    </x:cfRule>
    <x:cfRule type="expression" dxfId="1" priority="2">
      <x:formula>$N7="License clarification"</x:formula>
    </x:cfRule>
    <x:cfRule type="expression" dxfId="2" priority="3">
      <x:formula>$N7="Attribution / review"</x:formula>
    </x:cfRule>
    <x:cfRule type="expression" dxfId="3" priority="4">
      <x:formula>$N7="Reference reuse"</x:formula>
    </x:cfRule>
  </x:conditionalFormatting>
  <x:dataValidations count="1">
    <x:dataValidation type="list" sqref="V7:V18">
      <x:formula1>"Build &amp; validate,Curate &amp; validate,Permission required,License clarification,Reference ready"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eeb185166840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40" hidden="0" customWidth="1"/>
    <x:col min="17" max="17" width="40" hidden="0" customWidth="1"/>
  </x:cols>
  <x:sheetData>
    <x:row r="1" ht="22" customHeight="1">
      <x:c r="A1" s="4" t="str">
        <x:v>PROTOCOL COVERAGE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0" customHeight="1">
      <x:c r="A3" s="10" t="str">
        <x:v>Evidence levels are not interchangeable. A service, plugin or open port does not establish an active packet trace.</x:v>
      </x:c>
      <x:c r="B3" s="10"/>
      <x:c r="C3" s="10"/>
      <x:c r="D3" s="10"/>
      <x:c r="E3" s="10"/>
      <x:c r="F3" s="10"/>
      <x:c r="G3" s="10"/>
      <x:c r="H3" s="10"/>
    </x:row>
    <x:row r="4" ht="20" customHeight="1">
      <x:c r="A4" s="10"/>
      <x:c r="B4" s="10"/>
      <x:c r="C4" s="10"/>
      <x:c r="D4" s="10"/>
      <x:c r="E4" s="10"/>
      <x:c r="F4" s="10"/>
      <x:c r="G4" s="10"/>
      <x:c r="H4" s="10"/>
    </x:row>
    <x:row r="6" ht="34" customHeight="1">
      <x:c r="A6" s="23" t="str">
        <x:v>ID</x:v>
      </x:c>
      <x:c r="B6" s="23" t="str">
        <x:v>Resource</x:v>
      </x:c>
      <x:c r="C6" s="23" t="str">
        <x:v>Modbus</x:v>
      </x:c>
      <x:c r="D6" s="23" t="str">
        <x:v>CIP / EtherNet/IP</x:v>
      </x:c>
      <x:c r="E6" s="23" t="str">
        <x:v>S7comm</x:v>
      </x:c>
      <x:c r="F6" s="23" t="str">
        <x:v>PROFINET</x:v>
      </x:c>
      <x:c r="G6" s="23" t="str">
        <x:v>DNP3</x:v>
      </x:c>
      <x:c r="H6" s="23" t="str">
        <x:v>IEC 60870-5-104</x:v>
      </x:c>
      <x:c r="I6" s="23" t="str">
        <x:v>OPC UA</x:v>
      </x:c>
      <x:c r="J6" s="23" t="str">
        <x:v>IEC 61850 GOOSE</x:v>
      </x:c>
      <x:c r="K6" s="23" t="str">
        <x:v>IEC 61850 MMS</x:v>
      </x:c>
      <x:c r="L6" s="23" t="str">
        <x:v>IEC 61850 Sampled Values</x:v>
      </x:c>
      <x:c r="M6" s="23" t="str">
        <x:v>BACnet</x:v>
      </x:c>
      <x:c r="N6" s="23" t="str">
        <x:v>KNX</x:v>
      </x:c>
      <x:c r="O6" s="23" t="str">
        <x:v>EtherCAT</x:v>
      </x:c>
      <x:c r="P6" s="23" t="str">
        <x:v>Interpretation</x:v>
      </x:c>
      <x:c r="Q6" s="23" t="str">
        <x:v>Sources</x:v>
      </x:c>
    </x:row>
    <x:row r="7" ht="96" customHeight="1">
      <x:c r="A7" s="16" t="str">
        <x:v>R01</x:v>
      </x:c>
      <x:c r="B7" s="16" t="str">
        <x:v>GRFICSv3</x:v>
      </x:c>
      <x:c r="C7" s="16" t="str">
        <x:v>Configured</x:v>
      </x:c>
      <x:c r="D7" s="16" t="str">
        <x:v>—</x:v>
      </x:c>
      <x:c r="E7" s="16" t="str">
        <x:v>—</x:v>
      </x:c>
      <x:c r="F7" s="16" t="str">
        <x:v>—</x:v>
      </x:c>
      <x:c r="G7" s="16" t="str">
        <x:v>Bundled only</x:v>
      </x:c>
      <x:c r="H7" s="16" t="str">
        <x:v>—</x:v>
      </x:c>
      <x:c r="I7" s="16" t="str">
        <x:v>—</x:v>
      </x:c>
      <x:c r="J7" s="16" t="str">
        <x:v>—</x:v>
      </x:c>
      <x:c r="K7" s="16" t="str">
        <x:v>—</x:v>
      </x:c>
      <x:c r="L7" s="16" t="str">
        <x:v>—</x:v>
      </x:c>
      <x:c r="M7" s="16" t="str">
        <x:v>—</x:v>
      </x:c>
      <x:c r="N7" s="16" t="str">
        <x:v>—</x:v>
      </x:c>
      <x:c r="O7" s="16" t="str">
        <x:v>—</x:v>
      </x:c>
      <x:c r="P7" s="16" t="str">
        <x:v>Configured Modbus process path. Bundled DNP3 configuration does not establish active traffic.</x:v>
      </x:c>
      <x:c r="Q7" s="16" t="str">
        <x:v>https://github.com/Fortiphyd/GRFICSv3
https://raw.githubusercontent.com/Fortiphyd/GRFICSv3/main/plc/mbconfig.cfg
https://raw.githubusercontent.com/Fortiphyd/GRFICSv3/main/docker-compose.yml</x:v>
      </x:c>
    </x:row>
    <x:row r="8" ht="96" customHeight="1">
      <x:c r="A8" s="16" t="str">
        <x:v>R02</x:v>
      </x:c>
      <x:c r="B8" s="16" t="str">
        <x:v>OpenPLC v4</x:v>
      </x:c>
      <x:c r="C8" s="16" t="str">
        <x:v>Plugin</x:v>
      </x:c>
      <x:c r="D8" s="16" t="str">
        <x:v>—</x:v>
      </x:c>
      <x:c r="E8" s="16" t="str">
        <x:v>Plugin</x:v>
      </x:c>
      <x:c r="F8" s="16" t="str">
        <x:v>—</x:v>
      </x:c>
      <x:c r="G8" s="16" t="str">
        <x:v>—</x:v>
      </x:c>
      <x:c r="H8" s="16" t="str">
        <x:v>—</x:v>
      </x:c>
      <x:c r="I8" s="16" t="str">
        <x:v>Plugin</x:v>
      </x:c>
      <x:c r="J8" s="16" t="str">
        <x:v>—</x:v>
      </x:c>
      <x:c r="K8" s="16" t="str">
        <x:v>—</x:v>
      </x:c>
      <x:c r="L8" s="16" t="str">
        <x:v>—</x:v>
      </x:c>
      <x:c r="M8" s="16" t="str">
        <x:v>—</x:v>
      </x:c>
      <x:c r="N8" s="16" t="str">
        <x:v>—</x:v>
      </x:c>
      <x:c r="O8" s="16" t="str">
        <x:v>Plugin</x:v>
      </x:c>
      <x:c r="P8" s="16" t="str">
        <x:v>Plugin entries are capabilities to configure and validate; no capture supplied.</x:v>
      </x:c>
      <x:c r="Q8" s="16" t="str">
        <x:v>https://github.com/Autonomy-Logic/openplc-runtime
https://raw.githubusercontent.com/Autonomy-Logic/openplc-runtime/main/plugins_default.conf</x:v>
      </x:c>
    </x:row>
    <x:row r="9" ht="96" customHeight="1">
      <x:c r="A9" s="16" t="str">
        <x:v>R03</x:v>
      </x:c>
      <x:c r="B9" s="16" t="str">
        <x:v>Conpot</x:v>
      </x:c>
      <x:c r="C9" s="16" t="str">
        <x:v>Emulated</x:v>
      </x:c>
      <x:c r="D9" s="16" t="str">
        <x:v>Emulated</x:v>
      </x:c>
      <x:c r="E9" s="16" t="str">
        <x:v>Emulated</x:v>
      </x:c>
      <x:c r="F9" s="16" t="str">
        <x:v>—</x:v>
      </x:c>
      <x:c r="G9" s="16" t="str">
        <x:v>—</x:v>
      </x:c>
      <x:c r="H9" s="16" t="str">
        <x:v>Emulated</x:v>
      </x:c>
      <x:c r="I9" s="16" t="str">
        <x:v>—</x:v>
      </x:c>
      <x:c r="J9" s="16" t="str">
        <x:v>—</x:v>
      </x:c>
      <x:c r="K9" s="16" t="str">
        <x:v>—</x:v>
      </x:c>
      <x:c r="L9" s="16" t="str">
        <x:v>—</x:v>
      </x:c>
      <x:c r="M9" s="16" t="str">
        <x:v>Emulated</x:v>
      </x:c>
      <x:c r="N9" s="16" t="str">
        <x:v>—</x:v>
      </x:c>
      <x:c r="O9" s="16" t="str">
        <x:v>—</x:v>
      </x:c>
      <x:c r="P9" s="16" t="str">
        <x:v>Template-dependent endpoint service implementations; not full industrial or cyclic-process fidelity.</x:v>
      </x:c>
      <x:c r="Q9" s="16" t="str">
        <x:v>https://github.com/mushorg/conpot
https://conpot.readthedocs.io/en/latest/</x:v>
      </x:c>
    </x:row>
    <x:row r="10" ht="96" customHeight="1">
      <x:c r="A10" s="16" t="str">
        <x:v>R04</x:v>
      </x:c>
      <x:c r="B10" s="16" t="str">
        <x:v>SWaT</x:v>
      </x:c>
      <x:c r="C10" s="16" t="str">
        <x:v>—</x:v>
      </x:c>
      <x:c r="D10" s="16" t="str">
        <x:v>Lab</x:v>
      </x:c>
      <x:c r="E10" s="16" t="str">
        <x:v>—</x:v>
      </x:c>
      <x:c r="F10" s="16" t="str">
        <x:v>—</x:v>
      </x:c>
      <x:c r="G10" s="16" t="str">
        <x:v>—</x:v>
      </x:c>
      <x:c r="H10" s="16" t="str">
        <x:v>—</x:v>
      </x:c>
      <x:c r="I10" s="16" t="str">
        <x:v>—</x:v>
      </x:c>
      <x:c r="J10" s="16" t="str">
        <x:v>—</x:v>
      </x:c>
      <x:c r="K10" s="16" t="str">
        <x:v>—</x:v>
      </x:c>
      <x:c r="L10" s="16" t="str">
        <x:v>—</x:v>
      </x:c>
      <x:c r="M10" s="16" t="str">
        <x:v>—</x:v>
      </x:c>
      <x:c r="N10" s="16" t="str">
        <x:v>—</x:v>
      </x:c>
      <x:c r="O10" s="16" t="str">
        <x:v>—</x:v>
      </x:c>
      <x:c r="P10" s="16" t="str">
        <x:v>Owner lab architecture establishes EtherNet/IP; decode the exact permitted release to confirm packet mix.</x:v>
      </x:c>
      <x:c r="Q10" s="16" t="str">
        <x:v>https://www.sutd.edu.sg/itrust/itrust-labs/datasets/dataset-characteristics/swat/
https://www.sutd.edu.sg/itrust/swat/</x:v>
      </x:c>
    </x:row>
    <x:row r="11" ht="96" customHeight="1">
      <x:c r="A11" s="16" t="str">
        <x:v>R05</x:v>
      </x:c>
      <x:c r="B11" s="16" t="str">
        <x:v>WADI</x:v>
      </x:c>
      <x:c r="C11" s="16" t="str">
        <x:v>Lab</x:v>
      </x:c>
      <x:c r="D11" s="16" t="str">
        <x:v>Lab</x:v>
      </x:c>
      <x:c r="E11" s="16" t="str">
        <x:v>—</x:v>
      </x:c>
      <x:c r="F11" s="16" t="str">
        <x:v>—</x:v>
      </x:c>
      <x:c r="G11" s="16" t="str">
        <x:v>—</x:v>
      </x:c>
      <x:c r="H11" s="16" t="str">
        <x:v>—</x:v>
      </x:c>
      <x:c r="I11" s="16" t="str">
        <x:v>—</x:v>
      </x:c>
      <x:c r="J11" s="16" t="str">
        <x:v>—</x:v>
      </x:c>
      <x:c r="K11" s="16" t="str">
        <x:v>—</x:v>
      </x:c>
      <x:c r="L11" s="16" t="str">
        <x:v>—</x:v>
      </x:c>
      <x:c r="M11" s="16" t="str">
        <x:v>—</x:v>
      </x:c>
      <x:c r="N11" s="16" t="str">
        <x:v>—</x:v>
      </x:c>
      <x:c r="O11" s="16" t="str">
        <x:v>—</x:v>
      </x:c>
      <x:c r="P11" s="16" t="str">
        <x:v>Lab protocols; raw captures confirmed for attack-free December 2023 release, not automatically A1/A2.</x:v>
      </x:c>
      <x:c r="Q11" s="16" t="str">
        <x:v>https://www.sutd.edu.sg/itrust/itrust-labs/datasets/dataset-characteristics/wadi/
https://www.sutd.edu.sg/itrust/wadi/</x:v>
      </x:c>
    </x:row>
    <x:row r="12" ht="96" customHeight="1">
      <x:c r="A12" s="16" t="str">
        <x:v>R06</x:v>
      </x:c>
      <x:c r="B12" s="16" t="str">
        <x:v>HAI / HAIEnd</x:v>
      </x:c>
      <x:c r="C12" s="16" t="str">
        <x:v>—</x:v>
      </x:c>
      <x:c r="D12" s="16" t="str">
        <x:v>—</x:v>
      </x:c>
      <x:c r="E12" s="16" t="str">
        <x:v>—</x:v>
      </x:c>
      <x:c r="F12" s="16" t="str">
        <x:v>—</x:v>
      </x:c>
      <x:c r="G12" s="16" t="str">
        <x:v>—</x:v>
      </x:c>
      <x:c r="H12" s="16" t="str">
        <x:v>—</x:v>
      </x:c>
      <x:c r="I12" s="16" t="str">
        <x:v>Acquisition</x:v>
      </x:c>
      <x:c r="J12" s="16" t="str">
        <x:v>—</x:v>
      </x:c>
      <x:c r="K12" s="16" t="str">
        <x:v>—</x:v>
      </x:c>
      <x:c r="L12" s="16" t="str">
        <x:v>—</x:v>
      </x:c>
      <x:c r="M12" s="16" t="str">
        <x:v>—</x:v>
      </x:c>
      <x:c r="N12" s="16" t="str">
        <x:v>—</x:v>
      </x:c>
      <x:c r="O12" s="16" t="str">
        <x:v>—</x:v>
      </x:c>
      <x:c r="P12" s="16" t="str">
        <x:v>Gateway acquisition uses OPC UA, but published CSV is not OPC UA packet evidence.</x:v>
      </x:c>
      <x:c r="Q12" s="16" t="str">
        <x:v>https://github.com/icsdataset/hai</x:v>
      </x:c>
    </x:row>
    <x:row r="13" ht="96" customHeight="1">
      <x:c r="A13" s="16" t="str">
        <x:v>R07</x:v>
      </x:c>
      <x:c r="B13" s="16" t="str">
        <x:v>IEC61850SecurityDataset</x:v>
      </x:c>
      <x:c r="C13" s="16" t="str">
        <x:v>—</x:v>
      </x:c>
      <x:c r="D13" s="16" t="str">
        <x:v>—</x:v>
      </x:c>
      <x:c r="E13" s="16" t="str">
        <x:v>—</x:v>
      </x:c>
      <x:c r="F13" s="16" t="str">
        <x:v>—</x:v>
      </x:c>
      <x:c r="G13" s="16" t="str">
        <x:v>—</x:v>
      </x:c>
      <x:c r="H13" s="16" t="str">
        <x:v>—</x:v>
      </x:c>
      <x:c r="I13" s="16" t="str">
        <x:v>—</x:v>
      </x:c>
      <x:c r="J13" s="16" t="str">
        <x:v>Dataset</x:v>
      </x:c>
      <x:c r="K13" s="16" t="str">
        <x:v>—</x:v>
      </x:c>
      <x:c r="L13" s="16" t="str">
        <x:v>—</x:v>
      </x:c>
      <x:c r="M13" s="16" t="str">
        <x:v>—</x:v>
      </x:c>
      <x:c r="N13" s="16" t="str">
        <x:v>—</x:v>
      </x:c>
      <x:c r="O13" s="16" t="str">
        <x:v>—</x:v>
      </x:c>
      <x:c r="P13" s="16" t="str">
        <x:v>GOOSE explicitly documented in PCAPNG. No claim of full IEC 61850 stack coverage.</x:v>
      </x:c>
      <x:c r="Q13" s="16" t="str">
        <x:v>https://github.com/smartgridadsc/IEC61850SecurityDataset</x:v>
      </x:c>
    </x:row>
    <x:row r="14" ht="96" customHeight="1">
      <x:c r="A14" s="16" t="str">
        <x:v>R08</x:v>
      </x:c>
      <x:c r="B14" s="16" t="str">
        <x:v>KNX contextual dataset</x:v>
      </x:c>
      <x:c r="C14" s="16" t="str">
        <x:v>—</x:v>
      </x:c>
      <x:c r="D14" s="16" t="str">
        <x:v>—</x:v>
      </x:c>
      <x:c r="E14" s="16" t="str">
        <x:v>—</x:v>
      </x:c>
      <x:c r="F14" s="16" t="str">
        <x:v>—</x:v>
      </x:c>
      <x:c r="G14" s="16" t="str">
        <x:v>—</x:v>
      </x:c>
      <x:c r="H14" s="16" t="str">
        <x:v>—</x:v>
      </x:c>
      <x:c r="I14" s="16" t="str">
        <x:v>—</x:v>
      </x:c>
      <x:c r="J14" s="16" t="str">
        <x:v>—</x:v>
      </x:c>
      <x:c r="K14" s="16" t="str">
        <x:v>—</x:v>
      </x:c>
      <x:c r="L14" s="16" t="str">
        <x:v>—</x:v>
      </x:c>
      <x:c r="M14" s="16" t="str">
        <x:v>—</x:v>
      </x:c>
      <x:c r="N14" s="16" t="str">
        <x:v>Dataset</x:v>
      </x:c>
      <x:c r="O14" s="16" t="str">
        <x:v>—</x:v>
      </x:c>
      <x:c r="P14" s="16" t="str">
        <x:v>Twisted-pair bus telegrams; inspect link type before treating as Ethernet KNXnet/IP.</x:v>
      </x:c>
      <x:c r="Q14" s="16" t="str">
        <x:v>https://github.com/vgraveto/knx-datasets</x:v>
      </x:c>
    </x:row>
    <x:row r="15" ht="96" customHeight="1">
      <x:c r="A15" s="16" t="str">
        <x:v>R09</x:v>
      </x:c>
      <x:c r="B15" s="16" t="str">
        <x:v>4SICS</x:v>
      </x:c>
      <x:c r="C15" s="16" t="str">
        <x:v>Candidate</x:v>
      </x:c>
      <x:c r="D15" s="16" t="str">
        <x:v>—</x:v>
      </x:c>
      <x:c r="E15" s="16" t="str">
        <x:v>Candidate</x:v>
      </x:c>
      <x:c r="F15" s="16" t="str">
        <x:v>—</x:v>
      </x:c>
      <x:c r="G15" s="16" t="str">
        <x:v>Candidate</x:v>
      </x:c>
      <x:c r="H15" s="16" t="str">
        <x:v>—</x:v>
      </x:c>
      <x:c r="I15" s="16" t="str">
        <x:v>—</x:v>
      </x:c>
      <x:c r="J15" s="16" t="str">
        <x:v>—</x:v>
      </x:c>
      <x:c r="K15" s="16" t="str">
        <x:v>—</x:v>
      </x:c>
      <x:c r="L15" s="16" t="str">
        <x:v>—</x:v>
      </x:c>
      <x:c r="M15" s="16" t="str">
        <x:v>—</x:v>
      </x:c>
      <x:c r="N15" s="16" t="str">
        <x:v>—</x:v>
      </x:c>
      <x:c r="O15" s="16" t="str">
        <x:v>—</x:v>
      </x:c>
      <x:c r="P15" s="16" t="str">
        <x:v>Candidate services from inventory/ports, not a decoded packet-protocol inventory.</x:v>
      </x:c>
      <x:c r="Q15" s="16" t="str">
        <x:v>https://www.netresec.com/?page=PCAP4SICS</x:v>
      </x:c>
    </x:row>
    <x:row r="16" ht="96" customHeight="1">
      <x:c r="A16" s="16" t="str">
        <x:v>R10</x:v>
      </x:c>
      <x:c r="B16" s="16" t="str">
        <x:v>S4x15</x:v>
      </x:c>
      <x:c r="C16" s="16" t="str">
        <x:v>Unverified</x:v>
      </x:c>
      <x:c r="D16" s="16" t="str">
        <x:v>Unverified</x:v>
      </x:c>
      <x:c r="E16" s="16" t="str">
        <x:v>—</x:v>
      </x:c>
      <x:c r="F16" s="16" t="str">
        <x:v>—</x:v>
      </x:c>
      <x:c r="G16" s="16" t="str">
        <x:v>—</x:v>
      </x:c>
      <x:c r="H16" s="16" t="str">
        <x:v>—</x:v>
      </x:c>
      <x:c r="I16" s="16" t="str">
        <x:v>—</x:v>
      </x:c>
      <x:c r="J16" s="16" t="str">
        <x:v>—</x:v>
      </x:c>
      <x:c r="K16" s="16" t="str">
        <x:v>—</x:v>
      </x:c>
      <x:c r="L16" s="16" t="str">
        <x:v>—</x:v>
      </x:c>
      <x:c r="M16" s="16" t="str">
        <x:v>Named file</x:v>
      </x:c>
      <x:c r="N16" s="16" t="str">
        <x:v>—</x:v>
      </x:c>
      <x:c r="O16" s="16" t="str">
        <x:v>—</x:v>
      </x:c>
      <x:c r="P16" s="16" t="str">
        <x:v>BACnet capture names are explicit. Do not infer PLC wire protocols from vendor names alone.</x:v>
      </x:c>
      <x:c r="Q16" s="16" t="str">
        <x:v>https://www.netresec.com/?page=DigitalBond_S4</x:v>
      </x:c>
    </x:row>
    <x:row r="17" ht="96" customHeight="1">
      <x:c r="A17" s="16" t="str">
        <x:v>R11</x:v>
      </x:c>
      <x:c r="B17" s="16" t="str">
        <x:v>NIST SP 800-82</x:v>
      </x:c>
      <x:c r="C17" s="16" t="str">
        <x:v>Reference</x:v>
      </x:c>
      <x:c r="D17" s="16" t="str">
        <x:v>Reference</x:v>
      </x:c>
      <x:c r="E17" s="16" t="str">
        <x:v>Reference</x:v>
      </x:c>
      <x:c r="F17" s="16" t="str">
        <x:v>Reference</x:v>
      </x:c>
      <x:c r="G17" s="16" t="str">
        <x:v>Reference</x:v>
      </x:c>
      <x:c r="H17" s="16" t="str">
        <x:v>Reference</x:v>
      </x:c>
      <x:c r="I17" s="16" t="str">
        <x:v>Reference</x:v>
      </x:c>
      <x:c r="J17" s="16" t="str">
        <x:v>Reference</x:v>
      </x:c>
      <x:c r="K17" s="16" t="str">
        <x:v>Reference</x:v>
      </x:c>
      <x:c r="L17" s="16" t="str">
        <x:v>Reference</x:v>
      </x:c>
      <x:c r="M17" s="16" t="str">
        <x:v>Reference</x:v>
      </x:c>
      <x:c r="N17" s="16" t="str">
        <x:v>Reference</x:v>
      </x:c>
      <x:c r="O17" s="16" t="str">
        <x:v>Reference</x:v>
      </x:c>
      <x:c r="P17" s="16" t="str">
        <x:v>Reference means architectural/protocol context only; this row contributes no packet coverage.</x:v>
      </x:c>
      <x:c r="Q17" s="16" t="str">
        <x:v>https://csrc.nist.gov/pubs/sp/800/82/r3/final
https://csrc.nist.gov/pubs/sp/800/82/r4/ipd</x:v>
      </x:c>
    </x:row>
    <x:row r="18" ht="96" customHeight="1">
      <x:c r="A18" s="16" t="str">
        <x:v>R12</x:v>
      </x:c>
      <x:c r="B18" s="16" t="str">
        <x:v>MITRE ATT&amp;CK for ICS</x:v>
      </x:c>
      <x:c r="C18" s="16" t="str">
        <x:v>Reference</x:v>
      </x:c>
      <x:c r="D18" s="16" t="str">
        <x:v>Reference</x:v>
      </x:c>
      <x:c r="E18" s="16" t="str">
        <x:v>Reference</x:v>
      </x:c>
      <x:c r="F18" s="16" t="str">
        <x:v>Reference</x:v>
      </x:c>
      <x:c r="G18" s="16" t="str">
        <x:v>Reference</x:v>
      </x:c>
      <x:c r="H18" s="16" t="str">
        <x:v>Reference</x:v>
      </x:c>
      <x:c r="I18" s="16" t="str">
        <x:v>Reference</x:v>
      </x:c>
      <x:c r="J18" s="16" t="str">
        <x:v>Reference</x:v>
      </x:c>
      <x:c r="K18" s="16" t="str">
        <x:v>Reference</x:v>
      </x:c>
      <x:c r="L18" s="16" t="str">
        <x:v>Reference</x:v>
      </x:c>
      <x:c r="M18" s="16" t="str">
        <x:v>Reference</x:v>
      </x:c>
      <x:c r="N18" s="16" t="str">
        <x:v>Reference</x:v>
      </x:c>
      <x:c r="O18" s="16" t="str">
        <x:v>Reference</x:v>
      </x:c>
      <x:c r="P18" s="16" t="str">
        <x:v>Taxonomy does not constitute protocol traffic, implementation support or observed event labels.</x:v>
      </x:c>
      <x:c r="Q18" s="16" t="str">
        <x:v>https://attack.mitre.org/matrices/ics/
https://github.com/mitre-attack/attack-stix-data</x:v>
      </x:c>
    </x:row>
  </x:sheetData>
  <x:mergeCells>
    <x:mergeCell ref="A1:H2"/>
    <x:mergeCell ref="A3:H4"/>
  </x:mergeCells>
  <x:conditionalFormatting sqref="C7:O18">
    <x:cfRule type="expression" dxfId="4" priority="1">
      <x:formula>C7="Dataset"</x:formula>
    </x:cfRule>
    <x:cfRule type="expression" dxfId="5" priority="2">
      <x:formula>C7="Configured"</x:formula>
    </x:cfRule>
    <x:cfRule type="expression" dxfId="6" priority="3">
      <x:formula>C7="Plugin"</x:formula>
    </x:cfRule>
    <x:cfRule type="expression" dxfId="7" priority="4">
      <x:formula>C7="Emulated"</x:formula>
    </x:cfRule>
    <x:cfRule type="expression" dxfId="8" priority="5">
      <x:formula>C7="Candidate"</x:formula>
    </x:cfRule>
    <x:cfRule type="expression" dxfId="9" priority="6">
      <x:formula>C7="Unverified"</x:formula>
    </x:cfRule>
    <x:cfRule type="expression" dxfId="10" priority="7">
      <x:formula>C7="Lab"</x:formula>
    </x:cfRule>
    <x:cfRule type="expression" dxfId="11" priority="8">
      <x:formula>C7="Acquisition"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a529a1638e44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</x:cols>
  <x:sheetData>
    <x:row r="1" ht="22" customHeight="1">
      <x:c r="A1" s="4" t="str">
        <x:v>RIGHTS &amp; ACCESS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0" customHeight="1">
      <x:c r="A3" s="10" t="str">
        <x:v>Operational reuse screening, not legal approval. Source-code licenses and captured-output rights are separate.</x:v>
      </x:c>
      <x:c r="B3" s="10"/>
      <x:c r="C3" s="10"/>
      <x:c r="D3" s="10"/>
      <x:c r="E3" s="10"/>
      <x:c r="F3" s="10"/>
      <x:c r="G3" s="10"/>
      <x:c r="H3" s="10"/>
    </x:row>
    <x:row r="4" ht="20" customHeight="1">
      <x:c r="A4" s="10"/>
      <x:c r="B4" s="10"/>
      <x:c r="C4" s="10"/>
      <x:c r="D4" s="10"/>
      <x:c r="E4" s="10"/>
      <x:c r="F4" s="10"/>
      <x:c r="G4" s="10"/>
      <x:c r="H4" s="10"/>
    </x:row>
    <x:row r="6" ht="34" customHeight="1">
      <x:c r="A6" s="23" t="str">
        <x:v>ID</x:v>
      </x:c>
      <x:c r="B6" s="23" t="str">
        <x:v>Resource</x:v>
      </x:c>
      <x:c r="C6" s="23" t="str">
        <x:v>License / stated terms</x:v>
      </x:c>
      <x:c r="D6" s="23" t="str">
        <x:v>Internal event sharing</x:v>
      </x:c>
      <x:c r="E6" s="23" t="str">
        <x:v>Public redistribution</x:v>
      </x:c>
      <x:c r="F6" s="23" t="str">
        <x:v>Attribution / obligations</x:v>
      </x:c>
      <x:c r="G6" s="23" t="str">
        <x:v>What the license covers</x:v>
      </x:c>
      <x:c r="H6" s="23" t="str">
        <x:v>Clearance gate</x:v>
      </x:c>
      <x:c r="I6" s="23" t="str">
        <x:v>Required next action</x:v>
      </x:c>
      <x:c r="J6" s="23" t="str">
        <x:v>Sources</x:v>
      </x:c>
    </x:row>
    <x:row r="7" ht="140" customHeight="1">
      <x:c r="A7" s="16" t="str">
        <x:v>R01</x:v>
      </x:c>
      <x:c r="B7" s="16" t="str">
        <x:v>GRFICSv3</x:v>
      </x:c>
      <x:c r="C7" s="16" t="str">
        <x:v>GNU General Public License version 3 (GPL-3.0)</x:v>
      </x:c>
      <x:c r="D7" s="16" t="str">
        <x:v>Software use / sharing subject to applicable licenses; clean self-generated outputs need separate review</x:v>
      </x:c>
      <x:c r="E7" s="16" t="str">
        <x:v>Software distribution must satisfy applicable source/notice obligations; capture-output rights are not automatic</x:v>
      </x:c>
      <x:c r="F7" s="16" t="str">
        <x:v>Preserve software notices; assess source obligations and third-party components</x:v>
      </x:c>
      <x:c r="G7" s="16" t="str">
        <x:v>Repository software, not every dependency, image or item recorded in a capture</x:v>
      </x:c>
      <x:c r="H7" s="16" t="str">
        <x:v>Own-output review</x:v>
      </x:c>
      <x:c r="I7" s="16" t="str">
        <x:v>Pin source and images; generate clean scenarios; establish an explicit license for authored output</x:v>
      </x:c>
      <x:c r="J7" s="16" t="str">
        <x:v>https://raw.githubusercontent.com/Fortiphyd/GRFICSv3/main/LICENSE
https://github.com/Fortiphyd/GRFICSv3</x:v>
      </x:c>
    </x:row>
    <x:row r="8" ht="140" customHeight="1">
      <x:c r="A8" s="16" t="str">
        <x:v>R02</x:v>
      </x:c>
      <x:c r="B8" s="16" t="str">
        <x:v>OpenPLC Runtime v4</x:v>
      </x:c>
      <x:c r="C8" s="16" t="str">
        <x:v>MIT license</x:v>
      </x:c>
      <x:c r="D8" s="16" t="str">
        <x:v>Runtime permitted under license; check other components</x:v>
      </x:c>
      <x:c r="E8" s="16" t="str">
        <x:v>Runtime redistribution permitted with copyright and license notice</x:v>
      </x:c>
      <x:c r="F8" s="16" t="str">
        <x:v>Retain copyright and permission notice in copies / substantial portions</x:v>
      </x:c>
      <x:c r="G8" s="16" t="str">
        <x:v>This runtime repository, not all historic OpenPLC releases or external components</x:v>
      </x:c>
      <x:c r="H8" s="16" t="str">
        <x:v>Own-output review</x:v>
      </x:c>
      <x:c r="I8" s="16" t="str">
        <x:v>Freeze exact version; check editor/plugins; publish only clean authored traces</x:v>
      </x:c>
      <x:c r="J8" s="16" t="str">
        <x:v>https://raw.githubusercontent.com/Autonomy-Logic/openplc-runtime/main/LICENSE
https://github.com/Autonomy-Logic/openplc-runtime</x:v>
      </x:c>
    </x:row>
    <x:row r="9" ht="140" customHeight="1">
      <x:c r="A9" s="16" t="str">
        <x:v>R03</x:v>
      </x:c>
      <x:c r="B9" s="16" t="str">
        <x:v>Conpot</x:v>
      </x:c>
      <x:c r="C9" s="16" t="str">
        <x:v>GNU General Public License version 2 (GPL-2.0)</x:v>
      </x:c>
      <x:c r="D9" s="16" t="str">
        <x:v>Software use under license; recordings require content/privacy review</x:v>
      </x:c>
      <x:c r="E9" s="16" t="str">
        <x:v>Software distribution subject to license; do not assume capture contents inherit GPL</x:v>
      </x:c>
      <x:c r="F9" s="16" t="str">
        <x:v>Preserve notices and satisfy relevant source obligations</x:v>
      </x:c>
      <x:c r="G9" s="16" t="str">
        <x:v>Repository software; external templates/dependencies and recorded content need review</x:v>
      </x:c>
      <x:c r="H9" s="16" t="str">
        <x:v>Own-output review</x:v>
      </x:c>
      <x:c r="I9" s="16" t="str">
        <x:v>Use isolated authorized interactions; inventory redistributed dependencies</x:v>
      </x:c>
      <x:c r="J9" s="16" t="str">
        <x:v>https://raw.githubusercontent.com/mushorg/conpot/main/LICENSE.txt
https://github.com/mushorg/conpot</x:v>
      </x:c>
    </x:row>
    <x:row r="10" ht="140" customHeight="1">
      <x:c r="A10" s="16" t="str">
        <x:v>R04</x:v>
      </x:c>
      <x:c r="B10" s="16" t="str">
        <x:v>SWaT</x:v>
      </x:c>
      <x:c r="C10" s="16" t="str">
        <x:v>Custom iTrust dataset terms</x:v>
      </x:c>
      <x:c r="D10" s="16" t="str">
        <x:v>Do not share privately with additional participants without authorization</x:v>
      </x:c>
      <x:c r="E10" s="16" t="str">
        <x:v>Do not share publicly</x:v>
      </x:c>
      <x:c r="F10" s="16" t="str">
        <x:v>Credit iTrust; notify publication; requester/organization/date disclosure; further users request separately</x:v>
      </x:c>
      <x:c r="G10" s="16" t="str">
        <x:v>Requested dataset release</x:v>
      </x:c>
      <x:c r="H10" s="16" t="str">
        <x:v>Permission required</x:v>
      </x:c>
      <x:c r="I10" s="16" t="str">
        <x:v>Obtain written event/team permission before uploading to an internal challenge server</x:v>
      </x:c>
      <x:c r="J10" s="16" t="str">
        <x:v>https://www.sutd.edu.sg/itrust/itrust-labs/datasets/terms-of-usage/</x:v>
      </x:c>
    </x:row>
    <x:row r="11" ht="140" customHeight="1">
      <x:c r="A11" s="16" t="str">
        <x:v>R05</x:v>
      </x:c>
      <x:c r="B11" s="16" t="str">
        <x:v>WADI</x:v>
      </x:c>
      <x:c r="C11" s="16" t="str">
        <x:v>Custom iTrust dataset terms</x:v>
      </x:c>
      <x:c r="D11" s="16" t="str">
        <x:v>Do not share privately with additional participants without authorization</x:v>
      </x:c>
      <x:c r="E11" s="16" t="str">
        <x:v>Do not share publicly</x:v>
      </x:c>
      <x:c r="F11" s="16" t="str">
        <x:v>Same iTrust credit, notification, requester and access obligations</x:v>
      </x:c>
      <x:c r="G11" s="16" t="str">
        <x:v>Requested dataset release</x:v>
      </x:c>
      <x:c r="H11" s="16" t="str">
        <x:v>Permission required</x:v>
      </x:c>
      <x:c r="I11" s="16" t="str">
        <x:v>Request exact release and event-specific sharing scope; do not redistribute through our bundle</x:v>
      </x:c>
      <x:c r="J11" s="16" t="str">
        <x:v>https://www.sutd.edu.sg/itrust/itrust-labs/datasets/terms-of-usage/</x:v>
      </x:c>
    </x:row>
    <x:row r="12" ht="140" customHeight="1">
      <x:c r="A12" s="16" t="str">
        <x:v>R06</x:v>
      </x:c>
      <x:c r="B12" s="16" t="str">
        <x:v>HAI / HAIEnd</x:v>
      </x:c>
      <x:c r="C12" s="16" t="str">
        <x:v>License prose: Creative Commons Attribution-ShareAlike 4.0 (CC BY-SA 4.0); metadata: Creative Commons Attribution 4.0 (CC BY 4.0)</x:v>
      </x:c>
      <x:c r="D12" s="16" t="str">
        <x:v>Not marked automatically cleared while governing notice conflicts</x:v>
      </x:c>
      <x:c r="E12" s="16" t="str">
        <x:v>Clarify governing version and adaptation obligations before redistributing</x:v>
      </x:c>
      <x:c r="F12" s="16" t="str">
        <x:v>Attribution under both stated licenses; ShareAlike is an additional obligation under one</x:v>
      </x:c>
      <x:c r="G12" s="16" t="str">
        <x:v>Dataset; conflict is between notices in the same source</x:v>
      </x:c>
      <x:c r="H12" s="16" t="str">
        <x:v>License clarification</x:v>
      </x:c>
      <x:c r="I12" s="16" t="str">
        <x:v>Obtain maintainer clarification and retain it with frozen release; do not silently choose the more permissive notice</x:v>
      </x:c>
      <x:c r="J12" s="16" t="str">
        <x:v>https://github.com/icsdataset/hai</x:v>
      </x:c>
    </x:row>
    <x:row r="13" ht="140" customHeight="1">
      <x:c r="A13" s="16" t="str">
        <x:v>R07</x:v>
      </x:c>
      <x:c r="B13" s="16" t="str">
        <x:v>IEC61850SecurityDataset</x:v>
      </x:c>
      <x:c r="C13" s="16" t="str">
        <x:v>No explicit license found in reviewed tree</x:v>
      </x:c>
      <x:c r="D13" s="16" t="str">
        <x:v>Download availability alone does not establish permission to share with participants</x:v>
      </x:c>
      <x:c r="E13" s="16" t="str">
        <x:v>Do not assume permission</x:v>
      </x:c>
      <x:c r="F13" s="16" t="str">
        <x:v>Author requests scholarly citation; citation does not substitute for a reuse grant</x:v>
      </x:c>
      <x:c r="G13" s="16" t="str">
        <x:v>README download/citation statements, not a confirmed redistribution license</x:v>
      </x:c>
      <x:c r="H13" s="16" t="str">
        <x:v>Permission required</x:v>
      </x:c>
      <x:c r="I13" s="16" t="str">
        <x:v>Ask owner for corporate training / derivative / redistribution permission</x:v>
      </x:c>
      <x:c r="J13" s="16" t="str">
        <x:v>https://github.com/smartgridadsc/IEC61850SecurityDataset</x:v>
      </x:c>
    </x:row>
    <x:row r="14" ht="140" customHeight="1">
      <x:c r="A14" s="16" t="str">
        <x:v>R08</x:v>
      </x:c>
      <x:c r="B14" s="16" t="str">
        <x:v>KNX contextual dataset</x:v>
      </x:c>
      <x:c r="C14" s="16" t="str">
        <x:v>MIT repository license</x:v>
      </x:c>
      <x:c r="D14" s="16" t="str">
        <x:v>Permitted under repository license, with notice and privacy review</x:v>
      </x:c>
      <x:c r="E14" s="16" t="str">
        <x:v>Permitted under repository license; verify external mirror terms if used</x:v>
      </x:c>
      <x:c r="F14" s="16" t="str">
        <x:v>Retain copyright and permission notice</x:v>
      </x:c>
      <x:c r="G14" s="16" t="str">
        <x:v>Material covered by repository license; external DataPort package terms not separately audited</x:v>
      </x:c>
      <x:c r="H14" s="16" t="str">
        <x:v>Attribution / review</x:v>
      </x:c>
      <x:c r="I14" s="16" t="str">
        <x:v>Use repository version; retain notices; inspect residential privacy and embedded data</x:v>
      </x:c>
      <x:c r="J14" s="16" t="str">
        <x:v>https://raw.githubusercontent.com/vgraveto/knx-datasets/main/LICENSE
https://github.com/vgraveto/knx-datasets</x:v>
      </x:c>
    </x:row>
    <x:row r="15" ht="140" customHeight="1">
      <x:c r="A15" s="16" t="str">
        <x:v>R09</x:v>
      </x:c>
      <x:c r="B15" s="16" t="str">
        <x:v>4SICS</x:v>
      </x:c>
      <x:c r="C15" s="16" t="str">
        <x:v>Custom host statement contemplates redistribution and training</x:v>
      </x:c>
      <x:c r="D15" s="16" t="str">
        <x:v>Training use contemplated with specified attribution</x:v>
      </x:c>
      <x:c r="E15" s="16" t="str">
        <x:v>Redistribution contemplated with credit / backlink; not a broad SPDX software license</x:v>
      </x:c>
      <x:c r="F15" s="16" t="str">
        <x:v>Credit CS3Sthlm and link the Netresec source page</x:v>
      </x:c>
      <x:c r="G15" s="16" t="str">
        <x:v>Hosted 4SICS capture collection per page statement</x:v>
      </x:c>
      <x:c r="H15" s="16" t="str">
        <x:v>Attribution / review</x:v>
      </x:c>
      <x:c r="I15" s="16" t="str">
        <x:v>Preserve exact host statement and notices; screen captures; ask owner if planned use extends beyond statement</x:v>
      </x:c>
      <x:c r="J15" s="16" t="str">
        <x:v>https://www.netresec.com/?page=PCAP4SICS</x:v>
      </x:c>
    </x:row>
    <x:row r="16" ht="140" customHeight="1">
      <x:c r="A16" s="16" t="str">
        <x:v>R10</x:v>
      </x:c>
      <x:c r="B16" s="16" t="str">
        <x:v>S4x15</x:v>
      </x:c>
      <x:c r="C16" s="16" t="str">
        <x:v>Host obtained permission to publish; downstream grant not established</x:v>
      </x:c>
      <x:c r="D16" s="16" t="str">
        <x:v>Corporate repackaging / sharing requires clarification</x:v>
      </x:c>
      <x:c r="E16" s="16" t="str">
        <x:v>Not established by host's publication permission</x:v>
      </x:c>
      <x:c r="F16" s="16" t="str">
        <x:v>Preserve original attribution; obtain an explicit reuse grant</x:v>
      </x:c>
      <x:c r="G16" s="16" t="str">
        <x:v>Evidence of Netresec hosting authorization, not necessarily our onward-sharing rights</x:v>
      </x:c>
      <x:c r="H16" s="16" t="str">
        <x:v>Permission required</x:v>
      </x:c>
      <x:c r="I16" s="16" t="str">
        <x:v>Contact original organizers / owner for the proposed event and distribution model</x:v>
      </x:c>
      <x:c r="J16" s="16" t="str">
        <x:v>https://www.netresec.com/?page=DigitalBond_S4</x:v>
      </x:c>
    </x:row>
    <x:row r="17" ht="140" customHeight="1">
      <x:c r="A17" s="16" t="str">
        <x:v>R11</x:v>
      </x:c>
      <x:c r="B17" s="16" t="str">
        <x:v>NIST SP 800-82</x:v>
      </x:c>
      <x:c r="C17" s="16" t="str">
        <x:v>NIST technical-series publication reuse policy</x:v>
      </x:c>
      <x:c r="D17" s="16" t="str">
        <x:v>Generally reusable; inspect third-party credits</x:v>
      </x:c>
      <x:c r="E17" s="16" t="str">
        <x:v>NIST-authored material reusable under policy; third-party exceptions remain</x:v>
      </x:c>
      <x:c r="F17" s="16" t="str">
        <x:v>Use recommended citation; do not imply endorsement; inspect credited third-party graphics</x:v>
      </x:c>
      <x:c r="G17" s="16" t="str">
        <x:v>NIST-authored technical publication material, subject to the stated policy</x:v>
      </x:c>
      <x:c r="H17" s="16" t="str">
        <x:v>Reference reuse</x:v>
      </x:c>
      <x:c r="I17" s="16" t="str">
        <x:v>Cite Revision 3 final; clearly identify Revision 4 draft; preserve exceptions</x:v>
      </x:c>
      <x:c r="J17" s="16" t="str">
        <x:v>https://www.nist.gov/open/copyright-fair-use-and-licensing-statements-srd-data-software-and-technical-series-publications
https://csrc.nist.gov/pubs/sp/800/82/r3/final
https://csrc.nist.gov/pubs/sp/800/82/r4/ipd</x:v>
      </x:c>
    </x:row>
    <x:row r="18" ht="140" customHeight="1">
      <x:c r="A18" s="16" t="str">
        <x:v>R12</x:v>
      </x:c>
      <x:c r="B18" s="16" t="str">
        <x:v>MITRE ATT&amp;CK for ICS</x:v>
      </x:c>
      <x:c r="C18" s="16" t="str">
        <x:v>MITRE custom license allows research, development and commercial use</x:v>
      </x:c>
      <x:c r="D18" s="16" t="str">
        <x:v>Permitted subject to license / notice obligations</x:v>
      </x:c>
      <x:c r="E18" s="16" t="str">
        <x:v>Permitted subject to license / notice obligations</x:v>
      </x:c>
      <x:c r="F18" s="16" t="str">
        <x:v>Include copyright and license with copies; respect trademark / branding and no endorsement</x:v>
      </x:c>
      <x:c r="G18" s="16" t="str">
        <x:v>ATT&amp;CK data covered by the stated license</x:v>
      </x:c>
      <x:c r="H18" s="16" t="str">
        <x:v>Reference reuse</x:v>
      </x:c>
      <x:c r="I18" s="16" t="str">
        <x:v>Pin ICS STIX collection and license; record version and attribution</x:v>
      </x:c>
      <x:c r="J18" s="16" t="str">
        <x:v>https://raw.githubusercontent.com/mitre-attack/attack-stix-data/master/LICENSE.txt
https://attack.mitre.org/resources/legal-and-branding/
https://attack.mitre.org/resources/versions/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84cbb142a5a448e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22" customHeight="1">
      <x:c r="A1" s="4" t="str">
        <x:v>RELEASE NOTES</x:v>
      </x:c>
      <x:c r="B1" s="4"/>
      <x:c r="C1" s="4"/>
      <x:c r="D1" s="4"/>
      <x:c r="E1" s="4"/>
      <x:c r="F1" s="4"/>
      <x:c r="G1" s="4"/>
    </x:row>
    <x:row r="2" ht="22" customHeight="1">
      <x:c r="A2" s="4"/>
      <x:c r="B2" s="4"/>
      <x:c r="C2" s="4"/>
      <x:c r="D2" s="4"/>
      <x:c r="E2" s="4"/>
      <x:c r="F2" s="4"/>
      <x:c r="G2" s="4"/>
    </x:row>
    <x:row r="3" ht="20" customHeight="1">
      <x:c r="A3" s="10" t="str">
        <x:v>Release-specific facts prevent incorrect joins, label inversion and overstated dataset coverage.</x:v>
      </x:c>
      <x:c r="B3" s="10"/>
      <x:c r="C3" s="10"/>
      <x:c r="D3" s="10"/>
      <x:c r="E3" s="10"/>
      <x:c r="F3" s="10"/>
      <x:c r="G3" s="10"/>
    </x:row>
    <x:row r="4" ht="20" customHeight="1">
      <x:c r="A4" s="10"/>
      <x:c r="B4" s="10"/>
      <x:c r="C4" s="10"/>
      <x:c r="D4" s="10"/>
      <x:c r="E4" s="10"/>
      <x:c r="F4" s="10"/>
      <x:c r="G4" s="10"/>
    </x:row>
    <x:row r="6" ht="34" customHeight="1">
      <x:c r="A6" s="23" t="str">
        <x:v>Resource</x:v>
      </x:c>
      <x:c r="B6" s="23" t="str">
        <x:v>Release / edition</x:v>
      </x:c>
      <x:c r="C6" s="23" t="str">
        <x:v>Data / event content</x:v>
      </x:c>
      <x:c r="D6" s="23" t="str">
        <x:v>PCAP status</x:v>
      </x:c>
      <x:c r="E6" s="23" t="str">
        <x:v>Critical handling note</x:v>
      </x:c>
      <x:c r="F6" s="23" t="str">
        <x:v>Freeze recommendation</x:v>
      </x:c>
      <x:c r="G6" s="23" t="str">
        <x:v>Sources</x:v>
      </x:c>
    </x:row>
    <x:row r="7" ht="104" customHeight="1">
      <x:c r="A7" s="16" t="str">
        <x:v>GRFICSv3</x:v>
      </x:c>
      <x:c r="B7" s="16" t="str">
        <x:v>Current default branch, not commit-pinned</x:v>
      </x:c>
      <x:c r="C7" s="16" t="str">
        <x:v>Containerized chemical-process environment</x:v>
      </x:c>
      <x:c r="D7" s="16" t="str">
        <x:v>Generate</x:v>
      </x:c>
      <x:c r="E7" s="16" t="str">
        <x:v>Bundled PLC is not automatically standalone OpenPLC v4. Configured 100 ms polling is not a measured capture property</x:v>
      </x:c>
      <x:c r="F7" s="16" t="str">
        <x:v>Pin repository commit, image digests, controller logic, seed and capture vantage</x:v>
      </x:c>
      <x:c r="G7" s="16" t="str">
        <x:v>https://github.com/Fortiphyd/GRFICSv3
https://raw.githubusercontent.com/Fortiphyd/GRFICSv3/main/plc/mbconfig.cfg
https://raw.githubusercontent.com/Fortiphyd/GRFICSv3/main/docker-compose.yml</x:v>
      </x:c>
    </x:row>
    <x:row r="8" ht="104" customHeight="1">
      <x:c r="A8" s="16" t="str">
        <x:v>OpenPLC</x:v>
      </x:c>
      <x:c r="B8" s="16" t="str">
        <x:v>Standalone runtime v4</x:v>
      </x:c>
      <x:c r="C8" s="16" t="str">
        <x:v>Headless runtime; plugin-oriented protocol support</x:v>
      </x:c>
      <x:c r="D8" s="16" t="str">
        <x:v>Generate</x:v>
      </x:c>
      <x:c r="E8" s="16" t="str">
        <x:v>Version 4 has a different architecture and MIT runtime license; legacy docs may refer to another runtime</x:v>
      </x:c>
      <x:c r="F8" s="16" t="str">
        <x:v>Record runtime, editor and plugin versions separately</x:v>
      </x:c>
      <x:c r="G8" s="16" t="str">
        <x:v>https://github.com/Autonomy-Logic/openplc-runtime
https://raw.githubusercontent.com/Autonomy-Logic/openplc-runtime/main/plugins_default.conf
https://raw.githubusercontent.com/Autonomy-Logic/openplc-runtime/main/LICENSE</x:v>
      </x:c>
    </x:row>
    <x:row r="9" ht="104" customHeight="1">
      <x:c r="A9" s="16" t="str">
        <x:v>SWaT</x:v>
      </x:c>
      <x:c r="B9" s="16" t="str">
        <x:v>A1 / A2: December 2015 collection and normal-file update</x:v>
      </x:c>
      <x:c r="C9" s="16" t="str">
        <x:v>Normal + attacked process/network data; later normal-file edit removes an initial tank-drain segment</x:v>
      </x:c>
      <x:c r="D9" s="16" t="str">
        <x:v>Network data described; inspect exact distributed files</x:v>
      </x:c>
      <x:c r="E9" s="16" t="str">
        <x:v>Retain version information: deleting a benign startup/drain segment changes the definition of normal</x:v>
      </x:c>
      <x:c r="F9" s="16" t="str">
        <x:v>Use exact file version; validate labels and event count from accompanying release documentation</x:v>
      </x:c>
      <x:c r="G9" s="16" t="str">
        <x:v>https://www.sutd.edu.sg/itrust/itrust-labs/datasets/dataset-characteristics/swat/</x:v>
      </x:c>
    </x:row>
    <x:row r="10" ht="104" customHeight="1">
      <x:c r="A10" s="16" t="str">
        <x:v>SWaT</x:v>
      </x:c>
      <x:c r="B10" s="16" t="str">
        <x:v>A6: December 2019</x:v>
      </x:c>
      <x:c r="C10" s="16" t="str">
        <x:v>PCAP and historian CSV; three normal hours, one attack hour and six described attacks</x:v>
      </x:c>
      <x:c r="D10" s="16" t="str">
        <x:v>Explicitly available by request</x:v>
      </x:c>
      <x:c r="E10" s="16" t="str">
        <x:v>Good candidate for manageable integrated exercises, subject to no-sharing terms</x:v>
      </x:c>
      <x:c r="F10" s="16" t="str">
        <x:v>Request written event permission and exact file manifest before selection</x:v>
      </x:c>
      <x:c r="G10" s="16" t="str">
        <x:v>https://www.sutd.edu.sg/itrust/itrust-labs/datasets/dataset-characteristics/swat/
https://www.sutd.edu.sg/itrust/itrust-labs/datasets/terms-of-usage/</x:v>
      </x:c>
    </x:row>
    <x:row r="11" ht="104" customHeight="1">
      <x:c r="A11" s="16" t="str">
        <x:v>SWaT + WADI</x:v>
      </x:c>
      <x:c r="B11" s="16" t="str">
        <x:v>December 18–22, 2023 joint collection</x:v>
      </x:c>
      <x:c r="C11" s="16" t="str">
        <x:v>105 hours: five closed-loop and 100 crossover; no attacks</x:v>
      </x:c>
      <x:c r="D11" s="16" t="str">
        <x:v>Both provide PCAP + historian</x:v>
      </x:c>
      <x:c r="E11" s="16" t="str">
        <x:v>Approximately 429 GB SWaT + 335 GB WADI; derived network-flow data incomplete</x:v>
      </x:c>
      <x:c r="F11" s="16" t="str">
        <x:v>Select synchronized excerpts and preserve start/end timestamps and source-file IDs</x:v>
      </x:c>
      <x:c r="G11" s="16" t="str">
        <x:v>https://www.sutd.edu.sg/itrust/itrust-labs/datasets/dataset-characteristics/swat/
https://www.sutd.edu.sg/itrust/itrust-labs/datasets/dataset-characteristics/wadi/</x:v>
      </x:c>
    </x:row>
    <x:row r="12" ht="104" customHeight="1">
      <x:c r="A12" s="16" t="str">
        <x:v>SWaT</x:v>
      </x:c>
      <x:c r="B12" s="16" t="str">
        <x:v>December 2023 identifier discrepancy</x:v>
      </x:c>
      <x:c r="C12" s="16" t="str">
        <x:v>Characteristics page uses A9; summary lists A10 for this acquisition</x:v>
      </x:c>
      <x:c r="D12" s="16" t="str">
        <x:v>Date-based collection known; edition ID unresolved</x:v>
      </x:c>
      <x:c r="E12" s="16" t="str">
        <x:v>Do not silently choose an ID or combine unrelated November 2022 / December 2023 files</x:v>
      </x:c>
      <x:c r="F12" s="16" t="str">
        <x:v>Resolve edition ID with owner; refer to acquisition dates meanwhile</x:v>
      </x:c>
      <x:c r="G12" s="16" t="str">
        <x:v>https://www.sutd.edu.sg/itrust/itrust-labs/datasets/dataset-characteristics/swat/
https://www.sutd.edu.sg/itrust/itrust-labs/datasets/summary-of-available-datasets/</x:v>
      </x:c>
    </x:row>
    <x:row r="13" ht="104" customHeight="1">
      <x:c r="A13" s="16" t="str">
        <x:v>SWaT</x:v>
      </x:c>
      <x:c r="B13" s="16" t="str">
        <x:v>A11 February 2026; A12 March 2026</x:v>
      </x:c>
      <x:c r="C13" s="16" t="str">
        <x:v>Listed in owner summary; detailed contents not established in reviewed characteristics page</x:v>
      </x:c>
      <x:c r="D13" s="16" t="str">
        <x:v>Unverified</x:v>
      </x:c>
      <x:c r="E13" s="16" t="str">
        <x:v>Do not assume attacked traffic, protocols, tags or PCAP formats from older releases</x:v>
      </x:c>
      <x:c r="F13" s="16" t="str">
        <x:v>Treat as discovery entries until release-specific documentation and permission obtained</x:v>
      </x:c>
      <x:c r="G13" s="16" t="str">
        <x:v>https://www.sutd.edu.sg/itrust/itrust-labs/datasets/summary-of-available-datasets/</x:v>
      </x:c>
    </x:row>
    <x:row r="14" ht="104" customHeight="1">
      <x:c r="A14" s="16" t="str">
        <x:v>WADI</x:v>
      </x:c>
      <x:c r="B14" s="16" t="str">
        <x:v>A1: October 2017</x:v>
      </x:c>
      <x:c r="C14" s="16" t="str">
        <x:v>Fourteen normal days, two attacked days, 123 sensor/actuator channels and 15 attacks</x:v>
      </x:c>
      <x:c r="D14" s="16" t="str">
        <x:v>Not confirmed in distributed A1 package</x:v>
      </x:c>
      <x:c r="E14" s="16" t="str">
        <x:v>Physical CSV is useful but not evidence of an available attacked PCAP</x:v>
      </x:c>
      <x:c r="F14" s="16" t="str">
        <x:v>Obtain complete release manifest before assigning a packet-analysis challenge</x:v>
      </x:c>
      <x:c r="G14" s="16" t="str">
        <x:v>https://www.sutd.edu.sg/itrust/itrust-labs/datasets/dataset-characteristics/wadi/</x:v>
      </x:c>
    </x:row>
    <x:row r="15" ht="104" customHeight="1">
      <x:c r="A15" s="16" t="str">
        <x:v>WADI</x:v>
      </x:c>
      <x:c r="B15" s="16" t="str">
        <x:v>A2: corrected 2017-data release</x:v>
      </x:c>
      <x:c r="C15" s="16" t="str">
        <x:v>Normal values filtered; attack dates corrected; -1 denotes attack and +1 denotes normal</x:v>
      </x:c>
      <x:c r="D15" s="16" t="str">
        <x:v>Not confirmed</x:v>
      </x:c>
      <x:c r="E15" s="16" t="str">
        <x:v>Label polarity differs from common 0/1 schemas; preserve a documented conversion</x:v>
      </x:c>
      <x:c r="F15" s="16" t="str">
        <x:v>Normalize labels explicitly; preserve original label column separately</x:v>
      </x:c>
      <x:c r="G15" s="16" t="str">
        <x:v>https://www.sutd.edu.sg/itrust/itrust-labs/datasets/dataset-characteristics/wadi/</x:v>
      </x:c>
    </x:row>
    <x:row r="16" ht="104" customHeight="1">
      <x:c r="A16" s="16" t="str">
        <x:v>WADI</x:v>
      </x:c>
      <x:c r="B16" s="16" t="str">
        <x:v>A3: December 2023</x:v>
      </x:c>
      <x:c r="C16" s="16" t="str">
        <x:v>Attack-free PCAP + historian; part of synchronized joint SWaT/WADI run</x:v>
      </x:c>
      <x:c r="D16" s="16" t="str">
        <x:v>Explicitly available by request</x:v>
      </x:c>
      <x:c r="E16" s="16" t="str">
        <x:v>Do not attach 2017 attack labels to these 2023 traces</x:v>
      </x:c>
      <x:c r="F16" s="16" t="str">
        <x:v>Use as normal baseline / cross-system modeling, not as attacked network ground truth</x:v>
      </x:c>
      <x:c r="G16" s="16" t="str">
        <x:v>https://www.sutd.edu.sg/itrust/itrust-labs/datasets/dataset-characteristics/wadi/
https://www.sutd.edu.sg/itrust/itrust-labs/datasets/terms-of-usage/</x:v>
      </x:c>
    </x:row>
    <x:row r="17" ht="104" customHeight="1">
      <x:c r="A17" s="16" t="str">
        <x:v>HAI</x:v>
      </x:c>
      <x:c r="B17" s="16" t="str">
        <x:v>20.07 and 21.03</x:v>
      </x:c>
      <x:c r="C17" s="16" t="str">
        <x:v>Process time series; release-dependent signal set and process/global attack flags</x:v>
      </x:c>
      <x:c r="D17" s="16" t="str">
        <x:v>None described</x:v>
      </x:c>
      <x:c r="E17" s="16" t="str">
        <x:v>Time continuity applies within a CSV file, not automatically across all files</x:v>
      </x:c>
      <x:c r="F17" s="16" t="str">
        <x:v>Keep file/run boundaries; choose a single version for a benchmark</x:v>
      </x:c>
      <x:c r="G17" s="16" t="str">
        <x:v>https://github.com/icsdataset/hai</x:v>
      </x:c>
    </x:row>
    <x:row r="18" ht="104" customHeight="1">
      <x:c r="A18" s="16" t="str">
        <x:v>HAI</x:v>
      </x:c>
      <x:c r="B18" s="16" t="str">
        <x:v>22.04</x:v>
      </x:c>
      <x:c r="C18" s="16" t="str">
        <x:v>Process time series; per-process attack flags removed</x:v>
      </x:c>
      <x:c r="D18" s="16" t="str">
        <x:v>None described</x:v>
      </x:c>
      <x:c r="E18" s="16" t="str">
        <x:v>Use global flag and provided attack-target context; download actual Git LFS objects</x:v>
      </x:c>
      <x:c r="F18" s="16" t="str">
        <x:v>Check schema and label availability before writing loaders</x:v>
      </x:c>
      <x:c r="G18" s="16" t="str">
        <x:v>https://github.com/icsdataset/hai</x:v>
      </x:c>
    </x:row>
    <x:row r="19" ht="104" customHeight="1">
      <x:c r="A19" s="16" t="str">
        <x:v>HAI / HAIEnd</x:v>
      </x:c>
      <x:c r="B19" s="16" t="str">
        <x:v>23.05</x:v>
      </x:c>
      <x:c r="C19" s="16" t="str">
        <x:v>Paired process and internal boiler-control values from the same experiments</x:v>
      </x:c>
      <x:c r="D19" s="16" t="str">
        <x:v>None described</x:v>
      </x:c>
      <x:c r="E19" s="16" t="str">
        <x:v>Simultaneous collection improves context, not raw packet coverage; license notices conflict</x:v>
      </x:c>
      <x:c r="F19" s="16" t="str">
        <x:v>Align by verified timestamps and run IDs; resolve license before redistribution</x:v>
      </x:c>
      <x:c r="G19" s="16" t="str">
        <x:v>https://github.com/icsdataset/hai</x:v>
      </x:c>
    </x:row>
    <x:row r="20" ht="104" customHeight="1">
      <x:c r="A20" s="16" t="str">
        <x:v>IEC61850SecurityDataset</x:v>
      </x:c>
      <x:c r="B20" s="16" t="str">
        <x:v>Published synthesized substation scenarios</x:v>
      </x:c>
      <x:c r="C20" s="16" t="str">
        <x:v>Normal, legitimate disturbances and attack PCAPNG; per-device CSV and configuration</x:v>
      </x:c>
      <x:c r="D20" s="16" t="str">
        <x:v>Provided</x:v>
      </x:c>
      <x:c r="E20" s="16" t="str">
        <x:v>Attack CSV is reused normal baseline, not post-attack measured response</x:v>
      </x:c>
      <x:c r="F20" s="16" t="str">
        <x:v>Retain scenario/frame annotations and clearly label truth limitations</x:v>
      </x:c>
      <x:c r="G20" s="16" t="str">
        <x:v>https://github.com/smartgridadsc/IEC61850SecurityDataset</x:v>
      </x:c>
    </x:row>
    <x:row r="21" ht="104" customHeight="1">
      <x:c r="A21" s="16" t="str">
        <x:v>KNX</x:v>
      </x:c>
      <x:c r="B21" s="16" t="str">
        <x:v>2020 baseline + merged attack sessions</x:v>
      </x:c>
      <x:c r="C21" s="16" t="str">
        <x:v>Real-home bus captures plus enriched metadata</x:v>
      </x:c>
      <x:c r="D21" s="16" t="str">
        <x:v>Provided</x:v>
      </x:c>
      <x:c r="E21" s="16" t="str">
        <x:v>Attack-session timestamps modified for insertion; Target includes system responses</x:v>
      </x:c>
      <x:c r="F21" s="16" t="str">
        <x:v>Preserve original ordering/context and document label semantics</x:v>
      </x:c>
      <x:c r="G21" s="16" t="str">
        <x:v>https://github.com/vgraveto/knx-datasets</x:v>
      </x:c>
    </x:row>
    <x:row r="22" ht="104" customHeight="1">
      <x:c r="A22" s="16" t="str">
        <x:v>4SICS</x:v>
      </x:c>
      <x:c r="B22" s="16" t="str">
        <x:v>October 20–22, 2015</x:v>
      </x:c>
      <x:c r="C22" s="16" t="str">
        <x:v>Three heterogeneous conference-lab captures</x:v>
      </x:c>
      <x:c r="D22" s="16" t="str">
        <x:v>Provided</x:v>
      </x:c>
      <x:c r="E22" s="16" t="str">
        <x:v>Mixed testing/attack activity; no assertion that a whole file is benign</x:v>
      </x:c>
      <x:c r="F22" s="16" t="str">
        <x:v>Curate short explained segments after protocol, privacy and timing validation</x:v>
      </x:c>
      <x:c r="G22" s="16" t="str">
        <x:v>https://www.netresec.com/?page=PCAP4SICS</x:v>
      </x:c>
    </x:row>
    <x:row r="23" ht="104" customHeight="1">
      <x:c r="A23" s="16" t="str">
        <x:v>S4x15</x:v>
      </x:c>
      <x:c r="B23" s="16" t="str">
        <x:v>January 2015</x:v>
      </x:c>
      <x:c r="C23" s="16" t="str">
        <x:v>Eight per-device / host capture files</x:v>
      </x:c>
      <x:c r="D23" s="16" t="str">
        <x:v>Provided</x:v>
      </x:c>
      <x:c r="E23" s="16" t="str">
        <x:v>Cross-file timeline and duplicate traffic require inspection; no complete label set established</x:v>
      </x:c>
      <x:c r="F23" s="16" t="str">
        <x:v>Resolve rights, inspect clocks/capture vantage, then author an event key</x:v>
      </x:c>
      <x:c r="G23" s="16" t="str">
        <x:v>https://www.netresec.com/?page=DigitalBond_S4</x:v>
      </x:c>
    </x:row>
    <x:row r="24" ht="104" customHeight="1">
      <x:c r="A24" s="16" t="str">
        <x:v>NIST SP 800-82</x:v>
      </x:c>
      <x:c r="B24" s="16" t="str">
        <x:v>Revision 3 final; Revision 4 initial public draft</x:v>
      </x:c>
      <x:c r="C24" s="16" t="str">
        <x:v>Final guidance plus September 21, 2026 draft</x:v>
      </x:c>
      <x:c r="D24" s="16" t="str">
        <x:v>Not applicable</x:v>
      </x:c>
      <x:c r="E24" s="16" t="str">
        <x:v>Draft is not final. Comment deadline listed as November 30, 2026</x:v>
      </x:c>
      <x:c r="F24" s="16" t="str">
        <x:v>Baseline on Revision 3; track draft additions separately</x:v>
      </x:c>
      <x:c r="G24" s="16" t="str">
        <x:v>https://csrc.nist.gov/pubs/sp/800/82/r3/final
https://csrc.nist.gov/pubs/sp/800/82/r4/ipd</x:v>
      </x:c>
    </x:row>
    <x:row r="25" ht="104" customHeight="1">
      <x:c r="A25" s="16" t="str">
        <x:v>MITRE ATT&amp;CK</x:v>
      </x:c>
      <x:c r="B25" s="16" t="str">
        <x:v>Website version 19.2 at review</x:v>
      </x:c>
      <x:c r="C25" s="16" t="str">
        <x:v>Versioned ICS knowledge-base collection</x:v>
      </x:c>
      <x:c r="D25" s="16" t="str">
        <x:v>Not applicable</x:v>
      </x:c>
      <x:c r="E25" s="16" t="str">
        <x:v>Technique identifiers / definitions can change; website version does not substitute for file hash</x:v>
      </x:c>
      <x:c r="F25" s="16" t="str">
        <x:v>Pin exact STIX bundle, collection version, date and hash</x:v>
      </x:c>
      <x:c r="G25" s="16" t="str">
        <x:v>https://github.com/mitre-attack/attack-stix-data
https://attack.mitre.org/resources/versions/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38d35e0d8e964a5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</x:cols>
  <x:sheetData>
    <x:row r="1" ht="22" customHeight="1">
      <x:c r="A1" s="4" t="str">
        <x:v>BUILD PLAN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0" customHeight="1">
      <x:c r="A3" s="10" t="str">
        <x:v>Proposed event portfolio • suitability and difficulty are analyst judgments • no time estimates.</x:v>
      </x:c>
      <x:c r="B3" s="10"/>
      <x:c r="C3" s="10"/>
      <x:c r="D3" s="10"/>
      <x:c r="E3" s="10"/>
      <x:c r="F3" s="10"/>
      <x:c r="G3" s="10"/>
      <x:c r="H3" s="10"/>
    </x:row>
    <x:row r="4" ht="20" customHeight="1">
      <x:c r="A4" s="10"/>
      <x:c r="B4" s="10"/>
      <x:c r="C4" s="10"/>
      <x:c r="D4" s="10"/>
      <x:c r="E4" s="10"/>
      <x:c r="F4" s="10"/>
      <x:c r="G4" s="10"/>
      <x:c r="H4" s="10"/>
    </x:row>
    <x:row r="6" ht="34" customHeight="1">
      <x:c r="A6" s="23" t="str">
        <x:v>Phase</x:v>
      </x:c>
      <x:c r="B6" s="23" t="str">
        <x:v>Resources</x:v>
      </x:c>
      <x:c r="C6" s="23" t="str">
        <x:v>Track / learning objective</x:v>
      </x:c>
      <x:c r="D6" s="23" t="str">
        <x:v>Participant level</x:v>
      </x:c>
      <x:c r="E6" s="23" t="str">
        <x:v>Organizer effort</x:v>
      </x:c>
      <x:c r="F6" s="23" t="str">
        <x:v>Proposed exercise</x:v>
      </x:c>
      <x:c r="G6" s="23" t="str">
        <x:v>Required inputs / preparation</x:v>
      </x:c>
      <x:c r="H6" s="23" t="str">
        <x:v>Release gate</x:v>
      </x:c>
      <x:c r="I6" s="23" t="str">
        <x:v>Sources / rationale</x:v>
      </x:c>
    </x:row>
    <x:row r="7" ht="126" customHeight="1">
      <x:c r="A7" s="16" t="str">
        <x:v>1 — curate</x:v>
      </x:c>
      <x:c r="B7" s="16" t="str">
        <x:v>KNX</x:v>
      </x:c>
      <x:c r="C7" s="16" t="str">
        <x:v>Contextual protocol analysis</x:v>
      </x:c>
      <x:c r="D7" s="16" t="str">
        <x:v>Intermediate</x:v>
      </x:c>
      <x:c r="E7" s="16" t="str">
        <x:v>Intermediate</x:v>
      </x:c>
      <x:c r="F7" s="16" t="str">
        <x:v>Decode telegram values and distinguish abnormal commands from their downstream system responses</x:v>
      </x:c>
      <x:c r="G7" s="16" t="str">
        <x:v>PCAP/CSV alignment, engineering dictionary, Target semantics, notices, privacy screening and answer key</x:v>
      </x:c>
      <x:c r="H7" s="16" t="str">
        <x:v>Confirm link type; retain MIT notice; document reconstructed chronology</x:v>
      </x:c>
      <x:c r="I7" s="16" t="str">
        <x:v>https://github.com/vgraveto/knx-datasets
https://raw.githubusercontent.com/vgraveto/knx-datasets/main/LICENSE</x:v>
      </x:c>
    </x:row>
    <x:row r="8" ht="126" customHeight="1">
      <x:c r="A8" s="16" t="str">
        <x:v>1 — curate</x:v>
      </x:c>
      <x:c r="B8" s="16" t="str">
        <x:v>4SICS</x:v>
      </x:c>
      <x:c r="C8" s="16" t="str">
        <x:v>Asset discovery and mixed-traffic triage</x:v>
      </x:c>
      <x:c r="D8" s="16" t="str">
        <x:v>Beginner–intermediate</x:v>
      </x:c>
      <x:c r="E8" s="16" t="str">
        <x:v>Intermediate</x:v>
      </x:c>
      <x:c r="F8" s="16" t="str">
        <x:v>Build an asset inventory from a short trace and identify evidence of unusual communication</x:v>
      </x:c>
      <x:c r="G8" s="16" t="str">
        <x:v>Decode protocol inventory; select coherent excerpt; document capture vantage; author labels; preserve credit</x:v>
      </x:c>
      <x:c r="H8" s="16" t="str">
        <x:v>Do not call the complete conference trace benign; meet host attribution statement</x:v>
      </x:c>
      <x:c r="I8" s="16" t="str">
        <x:v>https://www.netresec.com/?page=PCAP4SICS</x:v>
      </x:c>
    </x:row>
    <x:row r="9" ht="126" customHeight="1">
      <x:c r="A9" s="16" t="str">
        <x:v>1 — build</x:v>
      </x:c>
      <x:c r="B9" s="16" t="str">
        <x:v>GRFICSv3</x:v>
      </x:c>
      <x:c r="C9" s="16" t="str">
        <x:v>Integrated packet / process causality</x:v>
      </x:c>
      <x:c r="D9" s="16" t="str">
        <x:v>Intermediate</x:v>
      </x:c>
      <x:c r="E9" s="16" t="str">
        <x:v>Advanced</x:v>
      </x:c>
      <x:c r="F9" s="16" t="str">
        <x:v>Explain a simulated setpoint change using a request, controller state, evolving process values and an alarm</x:v>
      </x:c>
      <x:c r="G9" s="16" t="str">
        <x:v>Pinned simulator, isolated network, controller logic, tag map, process-state export, PCAP and synchronized event oracle</x:v>
      </x:c>
      <x:c r="H9" s="16" t="str">
        <x:v>Functional and realism validation; own-output rights review; no connection to real OT</x:v>
      </x:c>
      <x:c r="I9" s="16" t="str">
        <x:v>https://github.com/Fortiphyd/GRFICSv3
https://raw.githubusercontent.com/Fortiphyd/GRFICSv3/main/plc/mbconfig.cfg
https://raw.githubusercontent.com/Fortiphyd/GRFICSv3/main/docker-compose.yml
https://raw.githubusercontent.com/Fortiphyd/GRFICSv3/main/LICENSE</x:v>
      </x:c>
    </x:row>
    <x:row r="10" ht="126" customHeight="1">
      <x:c r="A10" s="16" t="str">
        <x:v>2 — build</x:v>
      </x:c>
      <x:c r="B10" s="16" t="str">
        <x:v>OpenPLC v4</x:v>
      </x:c>
      <x:c r="C10" s="16" t="str">
        <x:v>Controller and protocol developer track</x:v>
      </x:c>
      <x:c r="D10" s="16" t="str">
        <x:v>Intermediate</x:v>
      </x:c>
      <x:c r="E10" s="16" t="str">
        <x:v>Advanced</x:v>
      </x:c>
      <x:c r="F10" s="16" t="str">
        <x:v>Build a read-only client / telemetry exporter and verify command-versus-measurement distinctions</x:v>
      </x:c>
      <x:c r="G10" s="16" t="str">
        <x:v>Pinned runtime/plugin, supplied process model, client, tag map and integration tests</x:v>
      </x:c>
      <x:c r="H10" s="16" t="str">
        <x:v>Validate actual selected plugin behavior; separate component and captured-output licenses</x:v>
      </x:c>
      <x:c r="I10" s="16" t="str">
        <x:v>https://github.com/Autonomy-Logic/openplc-runtime
https://raw.githubusercontent.com/Autonomy-Logic/openplc-runtime/main/plugins_default.conf
https://raw.githubusercontent.com/Autonomy-Logic/openplc-runtime/main/LICENSE</x:v>
      </x:c>
    </x:row>
    <x:row r="11" ht="126" customHeight="1">
      <x:c r="A11" s="16" t="str">
        <x:v>2 — build</x:v>
      </x:c>
      <x:c r="B11" s="16" t="str">
        <x:v>Conpot</x:v>
      </x:c>
      <x:c r="C11" s="16" t="str">
        <x:v>Service discovery and protocol parsers</x:v>
      </x:c>
      <x:c r="D11" s="16" t="str">
        <x:v>Beginner–intermediate</x:v>
      </x:c>
      <x:c r="E11" s="16" t="str">
        <x:v>Intermediate</x:v>
      </x:c>
      <x:c r="F11" s="16" t="str">
        <x:v>Classify industrial endpoint services and compare service emulation with a real process-backed device</x:v>
      </x:c>
      <x:c r="G11" s="16" t="str">
        <x:v>Chosen templates, authorized client interactions, local capture, emulator-fidelity notes</x:v>
      </x:c>
      <x:c r="H11" s="16" t="str">
        <x:v>Do not present a honeypot as a physically coherent plant</x:v>
      </x:c>
      <x:c r="I11" s="16" t="str">
        <x:v>https://github.com/mushorg/conpot
https://conpot.readthedocs.io/en/latest/
https://raw.githubusercontent.com/mushorg/conpot/main/LICENSE.txt</x:v>
      </x:c>
    </x:row>
    <x:row r="12" ht="126" customHeight="1">
      <x:c r="A12" s="16" t="str">
        <x:v>2 — conditional</x:v>
      </x:c>
      <x:c r="B12" s="16" t="str">
        <x:v>HAI / HAIEnd</x:v>
      </x:c>
      <x:c r="C12" s="16" t="str">
        <x:v>Time-series anomaly detection</x:v>
      </x:c>
      <x:c r="D12" s="16" t="str">
        <x:v>Intermediate–advanced</x:v>
      </x:c>
      <x:c r="E12" s="16" t="str">
        <x:v>Intermediate</x:v>
      </x:c>
      <x:c r="F12" s="16" t="str">
        <x:v>Detect an event and explain which coupled variables changed before and after the labeled interval</x:v>
      </x:c>
      <x:c r="G12" s="16" t="str">
        <x:v>One release, explicit train/test time boundaries, hidden test labels, event-aware scoring and signal dictionary</x:v>
      </x:c>
      <x:c r="H12" s="16" t="str">
        <x:v>Resolve conflicting license notices; do not add invented packets or random-row train/test leakage</x:v>
      </x:c>
      <x:c r="I12" s="16" t="str">
        <x:v>https://github.com/icsdataset/hai</x:v>
      </x:c>
    </x:row>
    <x:row r="13" ht="126" customHeight="1">
      <x:c r="A13" s="16" t="str">
        <x:v>2 — conditional</x:v>
      </x:c>
      <x:c r="B13" s="16" t="str">
        <x:v>SWaT A6</x:v>
      </x:c>
      <x:c r="C13" s="16" t="str">
        <x:v>Industrial incident reconstruction</x:v>
      </x:c>
      <x:c r="D13" s="16" t="str">
        <x:v>Intermediate–advanced</x:v>
      </x:c>
      <x:c r="E13" s="16" t="str">
        <x:v>Intermediate–advanced</x:v>
      </x:c>
      <x:c r="F13" s="16" t="str">
        <x:v>Correlate an authorized excerpt of packet activity with historian behavior and documented incident times</x:v>
      </x:c>
      <x:c r="G13" s="16" t="str">
        <x:v>Written team/event permission, exact release files, capture-point/timebase check, tag dictionary and answer key</x:v>
      </x:c>
      <x:c r="H13" s="16" t="str">
        <x:v>No private/public onward sharing without authorization</x:v>
      </x:c>
      <x:c r="I13" s="16" t="str">
        <x:v>https://www.sutd.edu.sg/itrust/itrust-labs/datasets/dataset-characteristics/swat/
https://www.sutd.edu.sg/itrust/swat/
https://www.sutd.edu.sg/itrust/itrust-labs/datasets/terms-of-usage/</x:v>
      </x:c>
    </x:row>
    <x:row r="14" ht="126" customHeight="1">
      <x:c r="A14" s="16" t="str">
        <x:v>3 — conditional</x:v>
      </x:c>
      <x:c r="B14" s="16" t="str">
        <x:v>WADI A3 / joint December 2023</x:v>
      </x:c>
      <x:c r="C14" s="16" t="str">
        <x:v>Normal baselines and coupled plants</x:v>
      </x:c>
      <x:c r="D14" s="16" t="str">
        <x:v>Advanced</x:v>
      </x:c>
      <x:c r="E14" s="16" t="str">
        <x:v>Advanced</x:v>
      </x:c>
      <x:c r="F14" s="16" t="str">
        <x:v>Model normal process/network relationships between treatment and distribution</x:v>
      </x:c>
      <x:c r="G14" s="16" t="str">
        <x:v>Permission, selected synchronized subset, storage plan, timing checks and known sensor-quality caveats</x:v>
      </x:c>
      <x:c r="H14" s="16" t="str">
        <x:v>No attack labels for this release; never attach A1 attack events to A3 packets</x:v>
      </x:c>
      <x:c r="I14" s="16" t="str">
        <x:v>https://www.sutd.edu.sg/itrust/itrust-labs/datasets/dataset-characteristics/swat/
https://www.sutd.edu.sg/itrust/itrust-labs/datasets/dataset-characteristics/wadi/
https://www.sutd.edu.sg/itrust/itrust-labs/datasets/terms-of-usage/</x:v>
      </x:c>
    </x:row>
    <x:row r="15" ht="126" customHeight="1">
      <x:c r="A15" s="16" t="str">
        <x:v>3 — conditional</x:v>
      </x:c>
      <x:c r="B15" s="16" t="str">
        <x:v>IEC61850SecurityDataset</x:v>
      </x:c>
      <x:c r="C15" s="16" t="str">
        <x:v>Electrical protection / disturbance triage</x:v>
      </x:c>
      <x:c r="D15" s="16" t="str">
        <x:v>Intermediate–advanced</x:v>
      </x:c>
      <x:c r="E15" s="16" t="str">
        <x:v>Intermediate</x:v>
      </x:c>
      <x:c r="F15" s="16" t="str">
        <x:v>Distinguish a legitimate electrical disturbance from inconsistent GOOSE state/event behavior</x:v>
      </x:c>
      <x:c r="G15" s="16" t="str">
        <x:v>Owner permission, substation diagram, IED configuration, frame/time annotations and separate truth-status fields</x:v>
      </x:c>
      <x:c r="H15" s="16" t="str">
        <x:v>Do not claim attack CSV proves physical attack effects</x:v>
      </x:c>
      <x:c r="I15" s="16" t="str">
        <x:v>https://github.com/smartgridadsc/IEC61850SecurityDataset</x:v>
      </x:c>
    </x:row>
    <x:row r="16" ht="126" customHeight="1">
      <x:c r="A16" s="16" t="str">
        <x:v>3 — conditional</x:v>
      </x:c>
      <x:c r="B16" s="16" t="str">
        <x:v>S4x15</x:v>
      </x:c>
      <x:c r="C16" s="16" t="str">
        <x:v>Historical multi-host CTF reconstruction</x:v>
      </x:c>
      <x:c r="D16" s="16" t="str">
        <x:v>Intermediate</x:v>
      </x:c>
      <x:c r="E16" s="16" t="str">
        <x:v>Intermediate–advanced</x:v>
      </x:c>
      <x:c r="F16" s="16" t="str">
        <x:v>Reconstruct relationships among controller, HMI and workstation captures</x:v>
      </x:c>
      <x:c r="G16" s="16" t="str">
        <x:v>Owner rights clarification, cross-file timestamp/deduplication checks and instructor-curated event key</x:v>
      </x:c>
      <x:c r="H16" s="16" t="str">
        <x:v>Hosting permission is not automatically downstream redistribution permission</x:v>
      </x:c>
      <x:c r="I16" s="16" t="str">
        <x:v>https://www.netresec.com/?page=DigitalBond_S4</x:v>
      </x:c>
    </x:row>
    <x:row r="17" ht="126" customHeight="1">
      <x:c r="A17" s="16" t="str">
        <x:v>All phases</x:v>
      </x:c>
      <x:c r="B17" s="16" t="str">
        <x:v>NIST + MITRE</x:v>
      </x:c>
      <x:c r="C17" s="16" t="str">
        <x:v>Architecture, evidence and scenario vocabulary</x:v>
      </x:c>
      <x:c r="D17" s="16" t="str">
        <x:v>Foundational–advanced</x:v>
      </x:c>
      <x:c r="E17" s="16" t="str">
        <x:v>Low–intermediate</x:v>
      </x:c>
      <x:c r="F17" s="16" t="str">
        <x:v>Explain the operational impact and attach supported technique mappings to evidence</x:v>
      </x:c>
      <x:c r="G17" s="16" t="str">
        <x:v>Revision 3 baseline, clearly labeled draft notes, pinned ATT&amp;CK collection, notices and scoring rubric</x:v>
      </x:c>
      <x:c r="H17" s="16" t="str">
        <x:v>A technique mapping is not a proof that an event occurred</x:v>
      </x:c>
      <x:c r="I17" s="16" t="str">
        <x:v>https://csrc.nist.gov/pubs/sp/800/82/r3/final
https://csrc.nist.gov/pubs/sp/800/82/r4/ipd
https://attack.mitre.org/matrices/ics/
https://github.com/mitre-attack/attack-stix-data
https://raw.githubusercontent.com/mitre-attack/attack-stix-data/master/LICENSE.txt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7b887c4f08eb4e9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22" customHeight="1">
      <x:c r="A1" s="4" t="str">
        <x:v>GAP REGISTER</x:v>
      </x:c>
      <x:c r="B1" s="4"/>
      <x:c r="C1" s="4"/>
      <x:c r="D1" s="4"/>
      <x:c r="E1" s="4"/>
      <x:c r="F1" s="4"/>
      <x:c r="G1" s="4"/>
      <x:c r="H1" s="4"/>
    </x:row>
    <x:row r="2" ht="22" customHeight="1">
      <x:c r="A2" s="4"/>
      <x:c r="B2" s="4"/>
      <x:c r="C2" s="4"/>
      <x:c r="D2" s="4"/>
      <x:c r="E2" s="4"/>
      <x:c r="F2" s="4"/>
      <x:c r="G2" s="4"/>
      <x:c r="H2" s="4"/>
    </x:row>
    <x:row r="3" ht="20" customHeight="1">
      <x:c r="A3" s="10" t="str">
        <x:v>Gaps are scoped to the 12 selected families, not claims that no suitable data exists anywhere.</x:v>
      </x:c>
      <x:c r="B3" s="10"/>
      <x:c r="C3" s="10"/>
      <x:c r="D3" s="10"/>
      <x:c r="E3" s="10"/>
      <x:c r="F3" s="10"/>
      <x:c r="G3" s="10"/>
      <x:c r="H3" s="10"/>
    </x:row>
    <x:row r="4" ht="20" customHeight="1">
      <x:c r="A4" s="10"/>
      <x:c r="B4" s="10"/>
      <x:c r="C4" s="10"/>
      <x:c r="D4" s="10"/>
      <x:c r="E4" s="10"/>
      <x:c r="F4" s="10"/>
      <x:c r="G4" s="10"/>
      <x:c r="H4" s="10"/>
    </x:row>
    <x:row r="6" ht="34" customHeight="1">
      <x:c r="A6" s="23" t="str">
        <x:v>Gap ID</x:v>
      </x:c>
      <x:c r="B6" s="23" t="str">
        <x:v>Gap within selected corpus</x:v>
      </x:c>
      <x:c r="C6" s="23" t="str">
        <x:v>Current evidence / partial coverage</x:v>
      </x:c>
      <x:c r="D6" s="23" t="str">
        <x:v>Why it matters</x:v>
      </x:c>
      <x:c r="E6" s="23" t="str">
        <x:v>Action to close gap</x:v>
      </x:c>
      <x:c r="F6" s="23" t="str">
        <x:v>Priority</x:v>
      </x:c>
      <x:c r="G6" s="23" t="str">
        <x:v>Validation evidence required</x:v>
      </x:c>
      <x:c r="H6" s="23" t="str">
        <x:v>Sources</x:v>
      </x:c>
    </x:row>
    <x:row r="7" ht="122" customHeight="1">
      <x:c r="A7" s="16" t="str">
        <x:v>G01</x:v>
      </x:c>
      <x:c r="B7" s="16" t="str">
        <x:v>Synchronized packets + independent process truth + operator intent</x:v>
      </x:c>
      <x:c r="C7" s="16" t="str">
        <x:v>SWaT offers packet/process pairs behind access restrictions; GRFICS can generate a joint record; other datasets omit parts</x:v>
      </x:c>
      <x:c r="D7" s="16" t="str">
        <x:v>A decoded write does not establish the physical consequence or whether it was authorized</x:v>
      </x:c>
      <x:c r="E7" s="16" t="str">
        <x:v>Instrument one canonical simulator with separate state, controller readings, HMI events and exact event labels</x:v>
      </x:c>
      <x:c r="F7" s="16" t="str">
        <x:v>Critical</x:v>
      </x:c>
      <x:c r="G7" s="16" t="str">
        <x:v>Common timebase; tag map; simulator state; captures; operator/maintenance log; honest truth provenance</x:v>
      </x:c>
      <x:c r="H7" s="16" t="str">
        <x:v>https://github.com/Fortiphyd/GRFICSv3
https://www.sutd.edu.sg/itrust/itrust-labs/datasets/dataset-characteristics/swat/
https://www.sutd.edu.sg/itrust/itrust-labs/datasets/terms-of-usage/
https://github.com/smartgridadsc/IEC61850SecurityDataset</x:v>
      </x:c>
    </x:row>
    <x:row r="8" ht="122" customHeight="1">
      <x:c r="A8" s="16" t="str">
        <x:v>G02</x:v>
      </x:c>
      <x:c r="B8" s="16" t="str">
        <x:v>Benign rare operations and equipment faults</x:v>
      </x:c>
      <x:c r="C8" s="16" t="str">
        <x:v>IEC collection includes legitimate electrical disturbances; conference traffic is not clean operational labeling</x:v>
      </x:c>
      <x:c r="D8" s="16" t="str">
        <x:v>Maintenance, restart, link failure and sensor failure can resemble attacks</x:v>
      </x:c>
      <x:c r="E8" s="16" t="str">
        <x:v>Generate labeled startup, shutdown, maintenance, device fault and communication-loss scenarios alongside attacks</x:v>
      </x:c>
      <x:c r="F8" s="16" t="str">
        <x:v>High</x:v>
      </x:c>
      <x:c r="G8" s="16" t="str">
        <x:v>Same process under benign and malicious cases; documented authorization and outcomes</x:v>
      </x:c>
      <x:c r="H8" s="16" t="str">
        <x:v>https://github.com/smartgridadsc/IEC61850SecurityDataset
https://www.netresec.com/?page=PCAP4SICS
https://www.netresec.com/?page=DigitalBond_S4</x:v>
      </x:c>
    </x:row>
    <x:row r="9" ht="122" customHeight="1">
      <x:c r="A9" s="16" t="str">
        <x:v>G03</x:v>
      </x:c>
      <x:c r="B9" s="16" t="str">
        <x:v>EtherNet/IP explicit messaging versus cyclic I/O</x:v>
      </x:c>
      <x:c r="C9" s="16" t="str">
        <x:v>SWaT/WADI document EtherNet/IP but exact release capture mix not decoded; Conpot provides service emulation</x:v>
      </x:c>
      <x:c r="D9" s="16" t="str">
        <x:v>Service support alone does not establish authentic cyclic I/O timing or process coupling</x:v>
      </x:c>
      <x:c r="E9" s="16" t="str">
        <x:v>Inspect permitted traces and create explicit-message plus cyclic-I/O benchmark scenarios where supported</x:v>
      </x:c>
      <x:c r="F9" s="16" t="str">
        <x:v>High</x:v>
      </x:c>
      <x:c r="G9" s="16" t="str">
        <x:v>Decoded services, connection parameters, capture vantage and measured cadence</x:v>
      </x:c>
      <x:c r="H9" s="16" t="str">
        <x:v>https://www.sutd.edu.sg/itrust/swat/
https://www.sutd.edu.sg/itrust/wadi/
https://conpot.readthedocs.io/en/latest/</x:v>
      </x:c>
    </x:row>
    <x:row r="10" ht="122" customHeight="1">
      <x:c r="A10" s="16" t="str">
        <x:v>G04</x:v>
      </x:c>
      <x:c r="B10" s="16" t="str">
        <x:v>PROFINET real-time and discovery / alarm traffic</x:v>
      </x:c>
      <x:c r="C10" s="16" t="str">
        <x:v>No validated PROFINET packet corpus identified in this selected set; S7comm does not imply PROFINET coverage</x:v>
      </x:c>
      <x:c r="D10" s="16" t="str">
        <x:v>Controller application traffic and real-time I/O teach different communication patterns</x:v>
      </x:c>
      <x:c r="E10" s="16" t="str">
        <x:v>Add a documented isolated controller / I/O capture or a separately licensed dataset</x:v>
      </x:c>
      <x:c r="F10" s="16" t="str">
        <x:v>High</x:v>
      </x:c>
      <x:c r="G10" s="16" t="str">
        <x:v>Layer-2 dissections, topology, update intervals, alarms and benign operational labels</x:v>
      </x:c>
      <x:c r="H10" s="16" t="str">
        <x:v>https://raw.githubusercontent.com/Autonomy-Logic/openplc-runtime/main/plugins_default.conf
https://conpot.readthedocs.io/en/latest/
https://www.netresec.com/?page=PCAP4SICS</x:v>
      </x:c>
    </x:row>
    <x:row r="11" ht="122" customHeight="1">
      <x:c r="A11" s="16" t="str">
        <x:v>G05</x:v>
      </x:c>
      <x:c r="B11" s="16" t="str">
        <x:v>DNP3 and IEC 60870-5-104 with physical context</x:v>
      </x:c>
      <x:c r="C11" s="16" t="str">
        <x:v>4SICS inventories DNP3 services; Conpot documents IEC 104 emulation; neither establishes rich labeled process truth</x:v>
      </x:c>
      <x:c r="D11" s="16" t="str">
        <x:v>Utility event reporting and control sequences require context beyond port discovery</x:v>
      </x:c>
      <x:c r="E11" s="16" t="str">
        <x:v>Seek a permitted utility dataset or build a controlled outstation/process simulation</x:v>
      </x:c>
      <x:c r="F11" s="16" t="str">
        <x:v>High</x:v>
      </x:c>
      <x:c r="G11" s="16" t="str">
        <x:v>Actual protocol objects/events, synchronized physical state and operator authorization</x:v>
      </x:c>
      <x:c r="H11" s="16" t="str">
        <x:v>https://www.netresec.com/?page=PCAP4SICS
https://conpot.readthedocs.io/en/latest/</x:v>
      </x:c>
    </x:row>
    <x:row r="12" ht="122" customHeight="1">
      <x:c r="A12" s="16" t="str">
        <x:v>G06</x:v>
      </x:c>
      <x:c r="B12" s="16" t="str">
        <x:v>OPC UA subscriptions and secure modes</x:v>
      </x:c>
      <x:c r="C12" s="16" t="str">
        <x:v>OpenPLC lists an OPC UA plugin; HAI uses acquisition through an OPC UA gateway but distributes CSV</x:v>
      </x:c>
      <x:c r="D12" s="16" t="str">
        <x:v>Process data does not expose session, subscription or encrypted-traffic behavior</x:v>
      </x:c>
      <x:c r="E12" s="16" t="str">
        <x:v>Generate secure and deliberately transparent lab profiles with known sampling/subscription parameters</x:v>
      </x:c>
      <x:c r="F12" s="16" t="str">
        <x:v>High</x:v>
      </x:c>
      <x:c r="G12" s="16" t="str">
        <x:v>Pinned security settings; capture visibility limits; publish/sampling rates and application logs</x:v>
      </x:c>
      <x:c r="H12" s="16" t="str">
        <x:v>https://raw.githubusercontent.com/Autonomy-Logic/openplc-runtime/main/plugins_default.conf
https://github.com/icsdataset/hai</x:v>
      </x:c>
    </x:row>
    <x:row r="13" ht="122" customHeight="1">
      <x:c r="A13" s="16" t="str">
        <x:v>G07</x:v>
      </x:c>
      <x:c r="B13" s="16" t="str">
        <x:v>IEC 61850 beyond GOOSE</x:v>
      </x:c>
      <x:c r="C13" s="16" t="str">
        <x:v>Selected substation corpus establishes GOOSE only</x:v>
      </x:c>
      <x:c r="D13" s="16" t="str">
        <x:v>MMS and Sampled Values are different aspects of substation communication</x:v>
      </x:c>
      <x:c r="E13" s="16" t="str">
        <x:v>Add separately documented and licensed MMS / Sampled Values material rather than marking the family fully covered</x:v>
      </x:c>
      <x:c r="F13" s="16" t="str">
        <x:v>Medium</x:v>
      </x:c>
      <x:c r="G13" s="16" t="str">
        <x:v>Protocol-level proof, IED configuration, process context and rights</x:v>
      </x:c>
      <x:c r="H13" s="16" t="str">
        <x:v>https://github.com/smartgridadsc/IEC61850SecurityDataset</x:v>
      </x:c>
    </x:row>
    <x:row r="14" ht="122" customHeight="1">
      <x:c r="A14" s="16" t="str">
        <x:v>G08</x:v>
      </x:c>
      <x:c r="B14" s="16" t="str">
        <x:v>Safety-system track</x:v>
      </x:c>
      <x:c r="C14" s="16" t="str">
        <x:v>No dedicated safety-system dataset established among the 12 core families</x:v>
      </x:c>
      <x:c r="D14" s="16" t="str">
        <x:v>Safety logic, safety state and ordinary process control should not be conflated</x:v>
      </x:c>
      <x:c r="E14" s="16" t="str">
        <x:v>Maintain as a separate future acquisition / simulation track</x:v>
      </x:c>
      <x:c r="F14" s="16" t="str">
        <x:v>Medium</x:v>
      </x:c>
      <x:c r="G14" s="16" t="str">
        <x:v>Safety-specific device/state documentation, synthetic safety cases and controlled permissions</x:v>
      </x:c>
      <x:c r="H14" s="16" t="str">
        <x:v>https://github.com/Fortiphyd/GRFICSv3
https://github.com/Autonomy-Logic/openplc-runtime
https://github.com/mushorg/conpot
https://www.sutd.edu.sg/itrust/itrust-labs/datasets/dataset-characteristics/swat/
https://www.sutd.edu.sg/itrust/itrust-labs/datasets/dataset-characteristics/wadi/
https://github.com/icsdataset/hai
https://github.com/smartgridadsc/IEC61850SecurityDataset
https://github.com/vgraveto/knx-datasets
https://www.netresec.com/?page=PCAP4SICS
https://www.netresec.com/?page=DigitalBond_S4</x:v>
      </x:c>
    </x:row>
    <x:row r="15" ht="122" customHeight="1">
      <x:c r="A15" s="16" t="str">
        <x:v>G09</x:v>
      </x:c>
      <x:c r="B15" s="16" t="str">
        <x:v>Production-like human and maintenance context</x:v>
      </x:c>
      <x:c r="C15" s="16" t="str">
        <x:v>Most resources expose packets or tags, not complete operator actions, change tickets and maintenance windows</x:v>
      </x:c>
      <x:c r="D15" s="16" t="str">
        <x:v>The same protocol-valid action can be permitted or unauthorized depending on context</x:v>
      </x:c>
      <x:c r="E15" s="16" t="str">
        <x:v>Author benign and unauthorized variants using identical command types with different context</x:v>
      </x:c>
      <x:c r="F15" s="16" t="str">
        <x:v>High</x:v>
      </x:c>
      <x:c r="G15" s="16" t="str">
        <x:v>Operator event ledger, authority/maintenance context, alarm acknowledgements and device state</x:v>
      </x:c>
      <x:c r="H15" s="16" t="str">
        <x:v>https://github.com/Fortiphyd/GRFICSv3
https://www.sutd.edu.sg/itrust/itrust-labs/datasets/dataset-characteristics/swat/
https://github.com/icsdataset/hai
https://www.netresec.com/?page=PCAP4SICS</x:v>
      </x:c>
    </x:row>
    <x:row r="16" ht="122" customHeight="1">
      <x:c r="A16" s="16" t="str">
        <x:v>G10</x:v>
      </x:c>
      <x:c r="B16" s="16" t="str">
        <x:v>Release integrity, labels and replay-quality checks</x:v>
      </x:c>
      <x:c r="C16" s="16" t="str">
        <x:v>WADI label polarity, KNX response labels, IEC baseline CSV and SWaT edition IDs require special treatment</x:v>
      </x:c>
      <x:c r="D16" s="16" t="str">
        <x:v>Bad labels or mismatched releases can make an otherwise polished challenge unsound</x:v>
      </x:c>
      <x:c r="E16" s="16" t="str">
        <x:v>Keep file hashes, schema versions, known issues, label semantics, capture metadata and split manifests</x:v>
      </x:c>
      <x:c r="F16" s="16" t="str">
        <x:v>Critical</x:v>
      </x:c>
      <x:c r="G16" s="16" t="str">
        <x:v>File-level manifest, checksums, packet completeness, clocks and reproducible answer key</x:v>
      </x:c>
      <x:c r="H16" s="16" t="str">
        <x:v>https://www.sutd.edu.sg/itrust/itrust-labs/datasets/dataset-characteristics/wadi/
https://github.com/vgraveto/knx-datasets
https://github.com/smartgridadsc/IEC61850SecurityDataset
https://www.sutd.edu.sg/itrust/itrust-labs/datasets/dataset-characteristics/swat/
https://www.sutd.edu.sg/itrust/itrust-labs/datasets/summary-of-available-datasets/</x:v>
      </x:c>
    </x:row>
    <x:row r="17" ht="122" customHeight="1">
      <x:c r="A17" s="16" t="str">
        <x:v>G11</x:v>
      </x:c>
      <x:c r="B17" s="16" t="str">
        <x:v>Redistributable corporate event bundle</x:v>
      </x:c>
      <x:c r="C17" s="16" t="str">
        <x:v>SWaT/WADI restrict onward sharing; HAI has conflicting notices; IEC and S4x15 lack a confirmed broad grant</x:v>
      </x:c>
      <x:c r="D17" s="16" t="str">
        <x:v>Publicly downloadable material cannot automatically be placed on an internal or public event server</x:v>
      </x:c>
      <x:c r="E17" s="16" t="str">
        <x:v>Clear rights early; publish only permitted curated datasets and clean self-generated traces</x:v>
      </x:c>
      <x:c r="F17" s="16" t="str">
        <x:v>Critical</x:v>
      </x:c>
      <x:c r="G17" s="16" t="str">
        <x:v>Stored license snapshots / grants, attribution bundle and explicit participant access model</x:v>
      </x:c>
      <x:c r="H17" s="16" t="str">
        <x:v>https://www.sutd.edu.sg/itrust/itrust-labs/datasets/terms-of-usage/
https://github.com/icsdataset/hai
https://github.com/smartgridadsc/IEC61850SecurityDataset
https://www.netresec.com/?page=DigitalBond_S4</x:v>
      </x:c>
    </x:row>
    <x:row r="18" ht="122" customHeight="1">
      <x:c r="A18" s="16" t="str">
        <x:v>G12</x:v>
      </x:c>
      <x:c r="B18" s="16" t="str">
        <x:v>Modern versus legacy network coverage</x:v>
      </x:c>
      <x:c r="C18" s="16" t="str">
        <x:v>4SICS and S4x15 are 2015 lab collections; newer generators support contemporary experiment design</x:v>
      </x:c>
      <x:c r="D18" s="16" t="str">
        <x:v>Historical authenticity should not be mistaken for a current production reference architecture</x:v>
      </x:c>
      <x:c r="E18" s="16" t="str">
        <x:v>Pair historical exercises with a version-pinned modern synthetic plant and explain differences</x:v>
      </x:c>
      <x:c r="F18" s="16" t="str">
        <x:v>Medium</x:v>
      </x:c>
      <x:c r="G18" s="16" t="str">
        <x:v>Architecture version, component inventory and explicit scope of what the scenario represents</x:v>
      </x:c>
      <x:c r="H18" s="16" t="str">
        <x:v>https://www.netresec.com/?page=PCAP4SICS
https://www.netresec.com/?page=DigitalBond_S4
https://github.com/Fortiphyd/GRFICSv3
https://github.com/Autonomy-Logic/openplc-runtime</x:v>
      </x:c>
    </x:row>
  </x:sheetData>
  <x:mergeCells>
    <x:mergeCell ref="A1:H2"/>
    <x:mergeCell ref="A3:H4"/>
  </x:mergeCells>
  <x:conditionalFormatting sqref="F7:F18">
    <x:cfRule type="expression" dxfId="12" priority="1">
      <x:formula>$F7="Critical"</x:formula>
    </x:cfRule>
  </x:conditionalFormatting>
  <x:dataValidations count="1">
    <x:dataValidation type="list" sqref="F7:F1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86dab46c42484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2" hidden="0" customWidth="1"/>
    <x:col min="4" max="4" width="40" hidden="0" customWidth="1"/>
    <x:col min="5" max="5" width="40" hidden="0" customWidth="1"/>
    <x:col min="6" max="6" width="15" hidden="0" customWidth="1"/>
  </x:cols>
  <x:sheetData>
    <x:row r="1" ht="22" customHeight="1">
      <x:c r="A1" s="4" t="str">
        <x:v>SOURCES</x:v>
      </x:c>
      <x:c r="B1" s="4"/>
      <x:c r="C1" s="4"/>
      <x:c r="D1" s="4"/>
      <x:c r="E1" s="4"/>
      <x:c r="F1" s="4"/>
    </x:row>
    <x:row r="2" ht="22" customHeight="1">
      <x:c r="A2" s="4"/>
      <x:c r="B2" s="4"/>
      <x:c r="C2" s="4"/>
      <x:c r="D2" s="4"/>
      <x:c r="E2" s="4"/>
      <x:c r="F2" s="4"/>
    </x:row>
    <x:row r="3" ht="20" customHeight="1">
      <x:c r="A3" s="10" t="str">
        <x:v>Primary-source register • URLs retained for future reference • repository branches may change after review.</x:v>
      </x:c>
      <x:c r="B3" s="10"/>
      <x:c r="C3" s="10"/>
      <x:c r="D3" s="10"/>
      <x:c r="E3" s="10"/>
      <x:c r="F3" s="10"/>
    </x:row>
    <x:row r="4" ht="20" customHeight="1">
      <x:c r="A4" s="10"/>
      <x:c r="B4" s="10"/>
      <x:c r="C4" s="10"/>
      <x:c r="D4" s="10"/>
      <x:c r="E4" s="10"/>
      <x:c r="F4" s="10"/>
    </x:row>
    <x:row r="6" ht="34" customHeight="1">
      <x:c r="A6" s="23" t="str">
        <x:v>Source ID</x:v>
      </x:c>
      <x:c r="B6" s="23" t="str">
        <x:v>Resource</x:v>
      </x:c>
      <x:c r="C6" s="23" t="str">
        <x:v>Source type</x:v>
      </x:c>
      <x:c r="D6" s="23" t="str">
        <x:v>Primary URL</x:v>
      </x:c>
      <x:c r="E6" s="23" t="str">
        <x:v>Supports / limitations</x:v>
      </x:c>
      <x:c r="F6" s="23" t="str">
        <x:v>Verified</x:v>
      </x:c>
    </x:row>
    <x:row r="7" ht="84" customHeight="1">
      <x:c r="A7" s="16" t="str">
        <x:v>S01</x:v>
      </x:c>
      <x:c r="B7" s="16" t="str">
        <x:v>GRFICSv3</x:v>
      </x:c>
      <x:c r="C7" s="16" t="str">
        <x:v>Project README</x:v>
      </x:c>
      <x:c r="D7" s="16" t="str">
        <x:v>https://github.com/Fortiphyd/GRFICSv3</x:v>
      </x:c>
      <x:c r="E7" s="16" t="str">
        <x:v>Containerized chemical-process lab, components, network layout and setup; documentation, not a runtime test.</x:v>
      </x:c>
      <x:c r="F7" s="28" t="n">
        <x:v>46292</x:v>
      </x:c>
    </x:row>
    <x:row r="8" ht="84" customHeight="1">
      <x:c r="A8" s="16" t="str">
        <x:v>S02</x:v>
      </x:c>
      <x:c r="B8" s="16" t="str">
        <x:v>GRFICSv3</x:v>
      </x:c>
      <x:c r="C8" s="16" t="str">
        <x:v>Modbus device configuration</x:v>
      </x:c>
      <x:c r="D8" s="16" t="str">
        <x:v>https://raw.githubusercontent.com/Fortiphyd/GRFICSv3/main/plc/mbconfig.cfg</x:v>
      </x:c>
      <x:c r="E8" s="16" t="str">
        <x:v>Six simulated process devices; Modbus TCP port 502; configured polling period 100 ms, not measured timing.</x:v>
      </x:c>
      <x:c r="F8" s="28" t="n">
        <x:v>46292</x:v>
      </x:c>
    </x:row>
    <x:row r="9" ht="84" customHeight="1">
      <x:c r="A9" s="16" t="str">
        <x:v>S03</x:v>
      </x:c>
      <x:c r="B9" s="16" t="str">
        <x:v>GRFICSv3</x:v>
      </x:c>
      <x:c r="C9" s="16" t="str">
        <x:v>Compose configuration</x:v>
      </x:c>
      <x:c r="D9" s="16" t="str">
        <x:v>https://raw.githubusercontent.com/Fortiphyd/GRFICSv3/main/docker-compose.yml</x:v>
      </x:c>
      <x:c r="E9" s="16" t="str">
        <x:v>Services, segmentation and exposed ports. Exposed ports are not proof of active protocol traffic.</x:v>
      </x:c>
      <x:c r="F9" s="28" t="n">
        <x:v>46292</x:v>
      </x:c>
    </x:row>
    <x:row r="10" ht="84" customHeight="1">
      <x:c r="A10" s="16" t="str">
        <x:v>S04</x:v>
      </x:c>
      <x:c r="B10" s="16" t="str">
        <x:v>GRFICSv3</x:v>
      </x:c>
      <x:c r="C10" s="16" t="str">
        <x:v>Repository license</x:v>
      </x:c>
      <x:c r="D10" s="16" t="str">
        <x:v>https://raw.githubusercontent.com/Fortiphyd/GRFICSv3/main/LICENSE</x:v>
      </x:c>
      <x:c r="E10" s="16" t="str">
        <x:v>GNU General Public License version 3; check bundled components separately.</x:v>
      </x:c>
      <x:c r="F10" s="28" t="n">
        <x:v>46292</x:v>
      </x:c>
    </x:row>
    <x:row r="11" ht="84" customHeight="1">
      <x:c r="A11" s="16" t="str">
        <x:v>S05</x:v>
      </x:c>
      <x:c r="B11" s="16" t="str">
        <x:v>OpenPLC</x:v>
      </x:c>
      <x:c r="C11" s="16" t="str">
        <x:v>Runtime v4 README</x:v>
      </x:c>
      <x:c r="D11" s="16" t="str">
        <x:v>https://github.com/Autonomy-Logic/openplc-runtime</x:v>
      </x:c>
      <x:c r="E11" s="16" t="str">
        <x:v>Standalone headless runtime v4; do not conflate with the legacy runtime bundled in other projects.</x:v>
      </x:c>
      <x:c r="F11" s="28" t="n">
        <x:v>46292</x:v>
      </x:c>
    </x:row>
    <x:row r="12" ht="84" customHeight="1">
      <x:c r="A12" s="16" t="str">
        <x:v>S06</x:v>
      </x:c>
      <x:c r="B12" s="16" t="str">
        <x:v>OpenPLC</x:v>
      </x:c>
      <x:c r="C12" s="16" t="str">
        <x:v>Plugin manifest</x:v>
      </x:c>
      <x:c r="D12" s="16" t="str">
        <x:v>https://raw.githubusercontent.com/Autonomy-Logic/openplc-runtime/main/plugins_default.conf</x:v>
      </x:c>
      <x:c r="E12" s="16" t="str">
        <x:v>Modbus master/slave, OPC UA, S7comm and EtherCAT plugin entries; configuration support, not inspected wire traffic.</x:v>
      </x:c>
      <x:c r="F12" s="28" t="n">
        <x:v>46292</x:v>
      </x:c>
    </x:row>
    <x:row r="13" ht="84" customHeight="1">
      <x:c r="A13" s="16" t="str">
        <x:v>S07</x:v>
      </x:c>
      <x:c r="B13" s="16" t="str">
        <x:v>OpenPLC</x:v>
      </x:c>
      <x:c r="C13" s="16" t="str">
        <x:v>Runtime license</x:v>
      </x:c>
      <x:c r="D13" s="16" t="str">
        <x:v>https://raw.githubusercontent.com/Autonomy-Logic/openplc-runtime/main/LICENSE</x:v>
      </x:c>
      <x:c r="E13" s="16" t="str">
        <x:v>MIT license for this runtime repository; other versions, editor and dependencies may differ.</x:v>
      </x:c>
      <x:c r="F13" s="28" t="n">
        <x:v>46292</x:v>
      </x:c>
    </x:row>
    <x:row r="14" ht="84" customHeight="1">
      <x:c r="A14" s="16" t="str">
        <x:v>S08</x:v>
      </x:c>
      <x:c r="B14" s="16" t="str">
        <x:v>Conpot</x:v>
      </x:c>
      <x:c r="C14" s="16" t="str">
        <x:v>Project README</x:v>
      </x:c>
      <x:c r="D14" s="16" t="str">
        <x:v>https://github.com/mushorg/conpot</x:v>
      </x:c>
      <x:c r="E14" s="16" t="str">
        <x:v>Industrial endpoint honeypot; templates and deployment. Not a physics simulator.</x:v>
      </x:c>
      <x:c r="F14" s="28" t="n">
        <x:v>46292</x:v>
      </x:c>
    </x:row>
    <x:row r="15" ht="84" customHeight="1">
      <x:c r="A15" s="16" t="str">
        <x:v>S09</x:v>
      </x:c>
      <x:c r="B15" s="16" t="str">
        <x:v>Conpot</x:v>
      </x:c>
      <x:c r="C15" s="16" t="str">
        <x:v>Protocol documentation</x:v>
      </x:c>
      <x:c r="D15" s="16" t="str">
        <x:v>https://conpot.readthedocs.io/en/latest/</x:v>
      </x:c>
      <x:c r="E15" s="16" t="str">
        <x:v>Protocol implementations are template-dependent; no claim of full vendor stack fidelity.</x:v>
      </x:c>
      <x:c r="F15" s="28" t="n">
        <x:v>46292</x:v>
      </x:c>
    </x:row>
    <x:row r="16" ht="84" customHeight="1">
      <x:c r="A16" s="16" t="str">
        <x:v>S10</x:v>
      </x:c>
      <x:c r="B16" s="16" t="str">
        <x:v>Conpot</x:v>
      </x:c>
      <x:c r="C16" s="16" t="str">
        <x:v>Repository license</x:v>
      </x:c>
      <x:c r="D16" s="16" t="str">
        <x:v>https://raw.githubusercontent.com/mushorg/conpot/main/LICENSE.txt</x:v>
      </x:c>
      <x:c r="E16" s="16" t="str">
        <x:v>GNU General Public License version 2; source license does not automatically license all captured content.</x:v>
      </x:c>
      <x:c r="F16" s="28" t="n">
        <x:v>46292</x:v>
      </x:c>
    </x:row>
    <x:row r="17" ht="84" customHeight="1">
      <x:c r="A17" s="16" t="str">
        <x:v>S11</x:v>
      </x:c>
      <x:c r="B17" s="16" t="str">
        <x:v>SWaT</x:v>
      </x:c>
      <x:c r="C17" s="16" t="str">
        <x:v>Dataset characteristics</x:v>
      </x:c>
      <x:c r="D17" s="16" t="str">
        <x:v>https://www.sutd.edu.sg/itrust/itrust-labs/datasets/dataset-characteristics/swat/</x:v>
      </x:c>
      <x:c r="E17" s="16" t="str">
        <x:v>Edition-specific network/process data and attack descriptions; A6 explicitly provides PCAP and historian CSV.</x:v>
      </x:c>
      <x:c r="F17" s="28" t="n">
        <x:v>46292</x:v>
      </x:c>
    </x:row>
    <x:row r="18" ht="84" customHeight="1">
      <x:c r="A18" s="16" t="str">
        <x:v>S12</x:v>
      </x:c>
      <x:c r="B18" s="16" t="str">
        <x:v>SWaT</x:v>
      </x:c>
      <x:c r="C18" s="16" t="str">
        <x:v>Physical testbed</x:v>
      </x:c>
      <x:c r="D18" s="16" t="str">
        <x:v>https://www.sutd.edu.sg/itrust/swat/</x:v>
      </x:c>
      <x:c r="E18" s="16" t="str">
        <x:v>Six-stage physical plant, devices, diagrams and EtherNet/IP architecture.</x:v>
      </x:c>
      <x:c r="F18" s="28" t="n">
        <x:v>46292</x:v>
      </x:c>
    </x:row>
    <x:row r="19" ht="84" customHeight="1">
      <x:c r="A19" s="16" t="str">
        <x:v>S13</x:v>
      </x:c>
      <x:c r="B19" s="16" t="str">
        <x:v>WADI</x:v>
      </x:c>
      <x:c r="C19" s="16" t="str">
        <x:v>Dataset characteristics</x:v>
      </x:c>
      <x:c r="D19" s="16" t="str">
        <x:v>https://www.sutd.edu.sg/itrust/itrust-labs/datasets/dataset-characteristics/wadi/</x:v>
      </x:c>
      <x:c r="E19" s="16" t="str">
        <x:v>A1/A2 process data; A3 December 2023 synchronized PCAP and historian data without attacks.</x:v>
      </x:c>
      <x:c r="F19" s="28" t="n">
        <x:v>46292</x:v>
      </x:c>
    </x:row>
    <x:row r="20" ht="84" customHeight="1">
      <x:c r="A20" s="16" t="str">
        <x:v>S14</x:v>
      </x:c>
      <x:c r="B20" s="16" t="str">
        <x:v>WADI</x:v>
      </x:c>
      <x:c r="C20" s="16" t="str">
        <x:v>Physical testbed</x:v>
      </x:c>
      <x:c r="D20" s="16" t="str">
        <x:v>https://www.sutd.edu.sg/itrust/wadi/</x:v>
      </x:c>
      <x:c r="E20" s="16" t="str">
        <x:v>Water distribution plant, industrial controllers, remote units, gateways, EtherNet/IP and Modbus architecture.</x:v>
      </x:c>
      <x:c r="F20" s="28" t="n">
        <x:v>46292</x:v>
      </x:c>
    </x:row>
    <x:row r="21" ht="84" customHeight="1">
      <x:c r="A21" s="16" t="str">
        <x:v>S15</x:v>
      </x:c>
      <x:c r="B21" s="16" t="str">
        <x:v>SWaT / WADI</x:v>
      </x:c>
      <x:c r="C21" s="16" t="str">
        <x:v>iTrust dataset terms</x:v>
      </x:c>
      <x:c r="D21" s="16" t="str">
        <x:v>https://www.sutd.edu.sg/itrust/itrust-labs/datasets/terms-of-usage/</x:v>
      </x:c>
      <x:c r="E21" s="16" t="str">
        <x:v>No private or public onward sharing; credit, publication notification and requester disclosure requirements.</x:v>
      </x:c>
      <x:c r="F21" s="28" t="n">
        <x:v>46292</x:v>
      </x:c>
    </x:row>
    <x:row r="22" ht="84" customHeight="1">
      <x:c r="A22" s="16" t="str">
        <x:v>S16</x:v>
      </x:c>
      <x:c r="B22" s="16" t="str">
        <x:v>SWaT / WADI</x:v>
      </x:c>
      <x:c r="C22" s="16" t="str">
        <x:v>Release summary</x:v>
      </x:c>
      <x:c r="D22" s="16" t="str">
        <x:v>https://www.sutd.edu.sg/itrust/itrust-labs/datasets/summary-of-available-datasets/</x:v>
      </x:c>
      <x:c r="E22" s="16" t="str">
        <x:v>Additional SWaT 2026 releases listed; December 2023 SWaT identifier conflicts with characteristics page.</x:v>
      </x:c>
      <x:c r="F22" s="28" t="n">
        <x:v>46292</x:v>
      </x:c>
    </x:row>
    <x:row r="23" ht="84" customHeight="1">
      <x:c r="A23" s="16" t="str">
        <x:v>S17</x:v>
      </x:c>
      <x:c r="B23" s="16" t="str">
        <x:v>HAI / HAIEnd</x:v>
      </x:c>
      <x:c r="C23" s="16" t="str">
        <x:v>Dataset README and metadata</x:v>
      </x:c>
      <x:c r="D23" s="16" t="str">
        <x:v>https://github.com/icsdataset/hai</x:v>
      </x:c>
      <x:c r="E23" s="16" t="str">
        <x:v>CSV time series, hardware-in-the-loop testbed, labels, versions, graphs; CC BY-SA 4.0 prose versus CC BY 4.0 metadata.</x:v>
      </x:c>
      <x:c r="F23" s="28" t="n">
        <x:v>46292</x:v>
      </x:c>
    </x:row>
    <x:row r="24" ht="84" customHeight="1">
      <x:c r="A24" s="16" t="str">
        <x:v>S18</x:v>
      </x:c>
      <x:c r="B24" s="16" t="str">
        <x:v>IEC 61850</x:v>
      </x:c>
      <x:c r="C24" s="16" t="str">
        <x:v>Dataset README and file tree</x:v>
      </x:c>
      <x:c r="D24" s="16" t="str">
        <x:v>https://github.com/smartgridadsc/IEC61850SecurityDataset</x:v>
      </x:c>
      <x:c r="E24" s="16" t="str">
        <x:v>Synthesized GOOSE PCAPNG, per-device CSV and configuration; attack CSV reuses baseline. No explicit license found in reviewed tree.</x:v>
      </x:c>
      <x:c r="F24" s="28" t="n">
        <x:v>46292</x:v>
      </x:c>
    </x:row>
    <x:row r="25" ht="84" customHeight="1">
      <x:c r="A25" s="16" t="str">
        <x:v>S19</x:v>
      </x:c>
      <x:c r="B25" s="16" t="str">
        <x:v>KNX</x:v>
      </x:c>
      <x:c r="C25" s="16" t="str">
        <x:v>Dataset README</x:v>
      </x:c>
      <x:c r="D25" s="16" t="str">
        <x:v>https://github.com/vgraveto/knx-datasets</x:v>
      </x:c>
      <x:c r="E25" s="16" t="str">
        <x:v>Real-home KNX bus captures and contextual CSV; captured attacks merged into baseline with modified times; Target label includes responses.</x:v>
      </x:c>
      <x:c r="F25" s="28" t="n">
        <x:v>46292</x:v>
      </x:c>
    </x:row>
    <x:row r="26" ht="84" customHeight="1">
      <x:c r="A26" s="16" t="str">
        <x:v>S20</x:v>
      </x:c>
      <x:c r="B26" s="16" t="str">
        <x:v>KNX</x:v>
      </x:c>
      <x:c r="C26" s="16" t="str">
        <x:v>Repository license</x:v>
      </x:c>
      <x:c r="D26" s="16" t="str">
        <x:v>https://raw.githubusercontent.com/vgraveto/knx-datasets/main/LICENSE</x:v>
      </x:c>
      <x:c r="E26" s="16" t="str">
        <x:v>MIT license. External mirrors/package terms must be checked separately.</x:v>
      </x:c>
      <x:c r="F26" s="28" t="n">
        <x:v>46292</x:v>
      </x:c>
    </x:row>
    <x:row r="27" ht="84" customHeight="1">
      <x:c r="A27" s="16" t="str">
        <x:v>S21</x:v>
      </x:c>
      <x:c r="B27" s="16" t="str">
        <x:v>4SICS</x:v>
      </x:c>
      <x:c r="C27" s="16" t="str">
        <x:v>Host download / attribution page</x:v>
      </x:c>
      <x:c r="D27" s="16" t="str">
        <x:v>https://www.netresec.com/?page=PCAP4SICS</x:v>
      </x:c>
      <x:c r="E27" s="16" t="str">
        <x:v>Three 2015 lab PCAPs, inventory and layout; credit CS3Sthlm and link Netresec for redistribution or training.</x:v>
      </x:c>
      <x:c r="F27" s="28" t="n">
        <x:v>46292</x:v>
      </x:c>
    </x:row>
    <x:row r="28" ht="84" customHeight="1">
      <x:c r="A28" s="16" t="str">
        <x:v>S22</x:v>
      </x:c>
      <x:c r="B28" s="16" t="str">
        <x:v>S4x15</x:v>
      </x:c>
      <x:c r="C28" s="16" t="str">
        <x:v>Host download page</x:v>
      </x:c>
      <x:c r="D28" s="16" t="str">
        <x:v>https://www.netresec.com/?page=DigitalBond_S4</x:v>
      </x:c>
      <x:c r="E28" s="16" t="str">
        <x:v>Eight 2015 CTF PCAPs and network diagram. Hosting permission is described, but broad downstream redistribution grant not found.</x:v>
      </x:c>
      <x:c r="F28" s="28" t="n">
        <x:v>46292</x:v>
      </x:c>
    </x:row>
    <x:row r="29" ht="84" customHeight="1">
      <x:c r="A29" s="16" t="str">
        <x:v>S23</x:v>
      </x:c>
      <x:c r="B29" s="16" t="str">
        <x:v>NIST SP 800-82</x:v>
      </x:c>
      <x:c r="C29" s="16" t="str">
        <x:v>Revision 3 final</x:v>
      </x:c>
      <x:c r="D29" s="16" t="str">
        <x:v>https://csrc.nist.gov/pubs/sp/800/82/r3/final</x:v>
      </x:c>
      <x:c r="E29" s="16" t="str">
        <x:v>Stable final Operational Technology security guidance; not a packet dataset.</x:v>
      </x:c>
      <x:c r="F29" s="28" t="n">
        <x:v>46292</x:v>
      </x:c>
    </x:row>
    <x:row r="30" ht="84" customHeight="1">
      <x:c r="A30" s="16" t="str">
        <x:v>S24</x:v>
      </x:c>
      <x:c r="B30" s="16" t="str">
        <x:v>NIST SP 800-82</x:v>
      </x:c>
      <x:c r="C30" s="16" t="str">
        <x:v>Revision 4 initial public draft</x:v>
      </x:c>
      <x:c r="D30" s="16" t="str">
        <x:v>https://csrc.nist.gov/pubs/sp/800/82/r4/ipd</x:v>
      </x:c>
      <x:c r="E30" s="16" t="str">
        <x:v>Draft released September 21, 2026; track separately from final guidance.</x:v>
      </x:c>
      <x:c r="F30" s="28" t="n">
        <x:v>46292</x:v>
      </x:c>
    </x:row>
    <x:row r="31" ht="84" customHeight="1">
      <x:c r="A31" s="16" t="str">
        <x:v>S25</x:v>
      </x:c>
      <x:c r="B31" s="16" t="str">
        <x:v>NIST</x:v>
      </x:c>
      <x:c r="C31" s="16" t="str">
        <x:v>Publication reuse policy</x:v>
      </x:c>
      <x:c r="D31" s="16" t="str">
        <x:v>https://www.nist.gov/open/copyright-fair-use-and-licensing-statements-srd-data-software-and-technical-series-publications</x:v>
      </x:c>
      <x:c r="E31" s="16" t="str">
        <x:v>Technical-publication reuse policy; attribution and third-party material exceptions.</x:v>
      </x:c>
      <x:c r="F31" s="28" t="n">
        <x:v>46292</x:v>
      </x:c>
    </x:row>
    <x:row r="32" ht="84" customHeight="1">
      <x:c r="A32" s="16" t="str">
        <x:v>S26</x:v>
      </x:c>
      <x:c r="B32" s="16" t="str">
        <x:v>MITRE ATT&amp;CK for ICS</x:v>
      </x:c>
      <x:c r="C32" s="16" t="str">
        <x:v>ICS matrix</x:v>
      </x:c>
      <x:c r="D32" s="16" t="str">
        <x:v>https://attack.mitre.org/matrices/ics/</x:v>
      </x:c>
      <x:c r="E32" s="16" t="str">
        <x:v>Behavior taxonomy and scenario mapping; not packet or process observations.</x:v>
      </x:c>
      <x:c r="F32" s="28" t="n">
        <x:v>46292</x:v>
      </x:c>
    </x:row>
    <x:row r="33" ht="84" customHeight="1">
      <x:c r="A33" s="16" t="str">
        <x:v>S27</x:v>
      </x:c>
      <x:c r="B33" s="16" t="str">
        <x:v>MITRE ATT&amp;CK</x:v>
      </x:c>
      <x:c r="C33" s="16" t="str">
        <x:v>Structured data repository</x:v>
      </x:c>
      <x:c r="D33" s="16" t="str">
        <x:v>https://github.com/mitre-attack/attack-stix-data</x:v>
      </x:c>
      <x:c r="E33" s="16" t="str">
        <x:v>STIX 2.1 collections; version-pinned machine-readable knowledge base.</x:v>
      </x:c>
      <x:c r="F33" s="28" t="n">
        <x:v>46292</x:v>
      </x:c>
    </x:row>
    <x:row r="34" ht="84" customHeight="1">
      <x:c r="A34" s="16" t="str">
        <x:v>S28</x:v>
      </x:c>
      <x:c r="B34" s="16" t="str">
        <x:v>MITRE ATT&amp;CK</x:v>
      </x:c>
      <x:c r="C34" s="16" t="str">
        <x:v>Data license</x:v>
      </x:c>
      <x:c r="D34" s="16" t="str">
        <x:v>https://raw.githubusercontent.com/mitre-attack/attack-stix-data/master/LICENSE.txt</x:v>
      </x:c>
      <x:c r="E34" s="16" t="str">
        <x:v>Research, development and commercial reuse permitted subject to notices and license.</x:v>
      </x:c>
      <x:c r="F34" s="28" t="n">
        <x:v>46292</x:v>
      </x:c>
    </x:row>
    <x:row r="35" ht="84" customHeight="1">
      <x:c r="A35" s="16" t="str">
        <x:v>S29</x:v>
      </x:c>
      <x:c r="B35" s="16" t="str">
        <x:v>MITRE ATT&amp;CK</x:v>
      </x:c>
      <x:c r="C35" s="16" t="str">
        <x:v>Versions</x:v>
      </x:c>
      <x:c r="D35" s="16" t="str">
        <x:v>https://attack.mitre.org/resources/versions/</x:v>
      </x:c>
      <x:c r="E35" s="16" t="str">
        <x:v>Current website version 19.2 at review; pin the exact ICS data release for an event.</x:v>
      </x:c>
      <x:c r="F35" s="28" t="n">
        <x:v>46292</x:v>
      </x:c>
    </x:row>
    <x:row r="36" ht="84" customHeight="1">
      <x:c r="A36" s="16" t="str">
        <x:v>S30</x:v>
      </x:c>
      <x:c r="B36" s="16" t="str">
        <x:v>MITRE ATT&amp;CK</x:v>
      </x:c>
      <x:c r="C36" s="16" t="str">
        <x:v>Legal and branding</x:v>
      </x:c>
      <x:c r="D36" s="16" t="str">
        <x:v>https://attack.mitre.org/resources/legal-and-branding/</x:v>
      </x:c>
      <x:c r="E36" s="16" t="str">
        <x:v>Attribution and trademark guidance; do not imply endorsement.</x:v>
      </x:c>
      <x:c r="F36" s="28" t="n">
        <x:v>46292</x:v>
      </x:c>
    </x:row>
  </x:sheetData>
  <x:mergeCells>
    <x:mergeCell ref="A1:F2"/>
    <x:mergeCell ref="A3:F4"/>
  </x:mergeCells>
  <x:pageMargins left="0.7" right="0.7" top="0.75" bottom="0.75" header="0.3" footer="0.3"/>
  <x:tableParts count="1">
    <x:tablePart xmlns:r="http://schemas.openxmlformats.org/officeDocument/2006/relationships" r:id="R5e0f7e52f70f4b8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5" hidden="0" customWidth="1"/>
    <x:col min="3" max="3" width="70" hidden="0" customWidth="1"/>
  </x:cols>
  <x:sheetData>
    <x:row r="1" ht="22" customHeight="1">
      <x:c r="A1" s="4" t="str">
        <x:v>GLOSSARY</x:v>
      </x:c>
      <x:c r="B1" s="4"/>
      <x:c r="C1" s="4"/>
    </x:row>
    <x:row r="2" ht="22" customHeight="1">
      <x:c r="A2" s="4"/>
      <x:c r="B2" s="4"/>
      <x:c r="C2" s="4"/>
    </x:row>
    <x:row r="3" ht="20" customHeight="1">
      <x:c r="A3" s="10" t="str">
        <x:v>Expand domain terms before using shorthand. Assessment and evidence codes are defined here.</x:v>
      </x:c>
      <x:c r="B3" s="10"/>
      <x:c r="C3" s="10"/>
    </x:row>
    <x:row r="4" ht="20" customHeight="1">
      <x:c r="A4" s="10"/>
      <x:c r="B4" s="10"/>
      <x:c r="C4" s="10"/>
    </x:row>
    <x:row r="6" ht="34" customHeight="1">
      <x:c r="A6" s="23" t="str">
        <x:v>Term</x:v>
      </x:c>
      <x:c r="B6" s="23" t="str">
        <x:v>Shorthand / category</x:v>
      </x:c>
      <x:c r="C6" s="23" t="str">
        <x:v>Meaning / handling rule</x:v>
      </x:c>
    </x:row>
    <x:row r="7" ht="62" customHeight="1">
      <x:c r="A7" s="16" t="str">
        <x:v>Supervisory Control and Data Acquisition</x:v>
      </x:c>
      <x:c r="B7" s="16" t="str">
        <x:v>SCADA</x:v>
      </x:c>
      <x:c r="C7" s="16" t="str">
        <x:v>Supervisory monitoring and control; not necessarily the controller's local control loop.</x:v>
      </x:c>
    </x:row>
    <x:row r="8" ht="62" customHeight="1">
      <x:c r="A8" s="16" t="str">
        <x:v>Industrial Control System</x:v>
      </x:c>
      <x:c r="B8" s="16" t="str">
        <x:v>ICS</x:v>
      </x:c>
      <x:c r="C8" s="16" t="str">
        <x:v>Control systems used to monitor or operate industrial processes.</x:v>
      </x:c>
    </x:row>
    <x:row r="9" ht="62" customHeight="1">
      <x:c r="A9" s="16" t="str">
        <x:v>Operational Technology</x:v>
      </x:c>
      <x:c r="B9" s="16" t="str">
        <x:v>OT</x:v>
      </x:c>
      <x:c r="C9" s="16" t="str">
        <x:v>Systems interacting with physical processes; not synonymous with ordinary enterprise networking.</x:v>
      </x:c>
    </x:row>
    <x:row r="10" ht="62" customHeight="1">
      <x:c r="A10" s="16" t="str">
        <x:v>Packet capture</x:v>
      </x:c>
      <x:c r="B10" s="16" t="str">
        <x:v>PCAP</x:v>
      </x:c>
      <x:c r="C10" s="16" t="str">
        <x:v>Captured packets. PCAPNG means PCAP Next Generation container format.</x:v>
      </x:c>
    </x:row>
    <x:row r="11" ht="62" customHeight="1">
      <x:c r="A11" s="16" t="str">
        <x:v>Programmable Logic Controller</x:v>
      </x:c>
      <x:c r="B11" s="16" t="str">
        <x:v>PLC</x:v>
      </x:c>
      <x:c r="C11" s="16" t="str">
        <x:v>Controller executing control logic; not automatically a complete process simulator.</x:v>
      </x:c>
    </x:row>
    <x:row r="12" ht="62" customHeight="1">
      <x:c r="A12" s="16" t="str">
        <x:v>Human-Machine Interface</x:v>
      </x:c>
      <x:c r="B12" s="16" t="str">
        <x:v>HMI</x:v>
      </x:c>
      <x:c r="C12" s="16" t="str">
        <x:v>Operator interface for status, alarms and permitted commands.</x:v>
      </x:c>
    </x:row>
    <x:row r="13" ht="62" customHeight="1">
      <x:c r="A13" s="16" t="str">
        <x:v>Remote Terminal Unit</x:v>
      </x:c>
      <x:c r="B13" s="16" t="str">
        <x:v>RTU</x:v>
      </x:c>
      <x:c r="C13" s="16" t="str">
        <x:v>Remote telemetry/control device.</x:v>
      </x:c>
    </x:row>
    <x:row r="14" ht="62" customHeight="1">
      <x:c r="A14" s="16" t="str">
        <x:v>Input/Output</x:v>
      </x:c>
      <x:c r="B14" s="16" t="str">
        <x:v>I/O</x:v>
      </x:c>
      <x:c r="C14" s="16" t="str">
        <x:v>Signals linking controller logic to sensors and actuators.</x:v>
      </x:c>
    </x:row>
    <x:row r="15" ht="62" customHeight="1">
      <x:c r="A15" s="16" t="str">
        <x:v>Distributed Control System</x:v>
      </x:c>
      <x:c r="B15" s="16" t="str">
        <x:v>DCS</x:v>
      </x:c>
      <x:c r="C15" s="16" t="str">
        <x:v>Industrial control platform; distinct from raw packet data.</x:v>
      </x:c>
    </x:row>
    <x:row r="16" ht="62" customHeight="1">
      <x:c r="A16" s="16" t="str">
        <x:v>Intelligent Electronic Device</x:v>
      </x:c>
      <x:c r="B16" s="16" t="str">
        <x:v>IED</x:v>
      </x:c>
      <x:c r="C16" s="16" t="str">
        <x:v>Protection/control device, commonly in electrical systems.</x:v>
      </x:c>
    </x:row>
    <x:row r="17" ht="62" customHeight="1">
      <x:c r="A17" s="16" t="str">
        <x:v>Hardware-in-the-Loop</x:v>
      </x:c>
      <x:c r="B17" s="16" t="str">
        <x:v>HIL</x:v>
      </x:c>
      <x:c r="C17" s="16" t="str">
        <x:v>Real control hardware coupled to a simulated process or system.</x:v>
      </x:c>
    </x:row>
    <x:row r="18" ht="62" customHeight="1">
      <x:c r="A18" s="16" t="str">
        <x:v>Capture-the-Flag</x:v>
      </x:c>
      <x:c r="B18" s="16" t="str">
        <x:v>CTF</x:v>
      </x:c>
      <x:c r="C18" s="16" t="str">
        <x:v>Challenge format; the presence of CTF traffic does not provide complete labels.</x:v>
      </x:c>
    </x:row>
    <x:row r="19" ht="62" customHeight="1">
      <x:c r="A19" s="16" t="str">
        <x:v>Transmission Control Protocol</x:v>
      </x:c>
      <x:c r="B19" s="16" t="str">
        <x:v>TCP</x:v>
      </x:c>
      <x:c r="C19" s="16" t="str">
        <x:v>Transport used by Modbus TCP and other applications.</x:v>
      </x:c>
    </x:row>
    <x:row r="20" ht="62" customHeight="1">
      <x:c r="A20" s="16" t="str">
        <x:v>Internet Protocol</x:v>
      </x:c>
      <x:c r="B20" s="16" t="str">
        <x:v>IP</x:v>
      </x:c>
      <x:c r="C20" s="16" t="str">
        <x:v>Network-layer protocol; some industrial traffic is non-IP Ethernet or fieldbus.</x:v>
      </x:c>
    </x:row>
    <x:row r="21" ht="62" customHeight="1">
      <x:c r="A21" s="16" t="str">
        <x:v>Common Industrial Protocol</x:v>
      </x:c>
      <x:c r="B21" s="16" t="str">
        <x:v>CIP</x:v>
      </x:c>
      <x:c r="C21" s="16" t="str">
        <x:v>Industrial application protocol used over EtherNet/IP; explicit and implicit traffic are not interchangeable.</x:v>
      </x:c>
    </x:row>
    <x:row r="22" ht="62" customHeight="1">
      <x:c r="A22" s="16" t="str">
        <x:v>Open Platform Communications Unified Architecture</x:v>
      </x:c>
      <x:c r="B22" s="16" t="str">
        <x:v>OPC UA</x:v>
      </x:c>
      <x:c r="C22" s="16" t="str">
        <x:v>Industrial information and service framework; gateway-acquired CSV is not a packet trace.</x:v>
      </x:c>
    </x:row>
    <x:row r="23" ht="62" customHeight="1">
      <x:c r="A23" s="16" t="str">
        <x:v>Distributed Network Protocol 3</x:v>
      </x:c>
      <x:c r="B23" s="16" t="str">
        <x:v>DNP3</x:v>
      </x:c>
      <x:c r="C23" s="16" t="str">
        <x:v>Utility-oriented telemetry and control protocol.</x:v>
      </x:c>
    </x:row>
    <x:row r="24" ht="62" customHeight="1">
      <x:c r="A24" s="16" t="str">
        <x:v>International Electrotechnical Commission</x:v>
      </x:c>
      <x:c r="B24" s="16" t="str">
        <x:v>IEC</x:v>
      </x:c>
      <x:c r="C24" s="16" t="str">
        <x:v>Standards body; relevant families include IEC 60870-5-104 and IEC 61850.</x:v>
      </x:c>
    </x:row>
    <x:row r="25" ht="62" customHeight="1">
      <x:c r="A25" s="16" t="str">
        <x:v>Generic Object Oriented Substation Event</x:v>
      </x:c>
      <x:c r="B25" s="16" t="str">
        <x:v>GOOSE</x:v>
      </x:c>
      <x:c r="C25" s="16" t="str">
        <x:v>IEC 61850 event messaging present in the selected substation dataset.</x:v>
      </x:c>
    </x:row>
    <x:row r="26" ht="62" customHeight="1">
      <x:c r="A26" s="16" t="str">
        <x:v>Manufacturing Message Specification</x:v>
      </x:c>
      <x:c r="B26" s="16" t="str">
        <x:v>MMS</x:v>
      </x:c>
      <x:c r="C26" s="16" t="str">
        <x:v>A separate substation communication component; not confirmed by GOOSE-only coverage.</x:v>
      </x:c>
    </x:row>
    <x:row r="27" ht="62" customHeight="1">
      <x:c r="A27" s="16" t="str">
        <x:v>Building Automation and Control Networks</x:v>
      </x:c>
      <x:c r="B27" s="16" t="str">
        <x:v>BACnet</x:v>
      </x:c>
      <x:c r="C27" s="16" t="str">
        <x:v>Building-automation protocol family.</x:v>
      </x:c>
    </x:row>
    <x:row r="28" ht="62" customHeight="1">
      <x:c r="A28" s="16" t="str">
        <x:v>PROFINET</x:v>
      </x:c>
      <x:c r="B28" s="16" t="str">
        <x:v>PROFINET</x:v>
      </x:c>
      <x:c r="C28" s="16" t="str">
        <x:v>Industrial Ethernet protocol family; do not infer coverage from Siemens S7comm.</x:v>
      </x:c>
    </x:row>
    <x:row r="29" ht="62" customHeight="1">
      <x:c r="A29" s="16" t="str">
        <x:v>KNX</x:v>
      </x:c>
      <x:c r="B29" s="16" t="str">
        <x:v>KNX</x:v>
      </x:c>
      <x:c r="C29" s="16" t="str">
        <x:v>Building-control standard / brand; the selected capture describes twisted-pair bus telegrams.</x:v>
      </x:c>
    </x:row>
    <x:row r="30" ht="62" customHeight="1">
      <x:c r="A30" s="16" t="str">
        <x:v>Ethernet for Control Automation Technology</x:v>
      </x:c>
      <x:c r="B30" s="16" t="str">
        <x:v>EtherCAT</x:v>
      </x:c>
      <x:c r="C30" s="16" t="str">
        <x:v>Industrial Ethernet fieldbus; listed OpenPLC plugin is not an existing labeled corpus.</x:v>
      </x:c>
    </x:row>
    <x:row r="31" ht="62" customHeight="1">
      <x:c r="A31" s="16" t="str">
        <x:v>Comma-separated values</x:v>
      </x:c>
      <x:c r="B31" s="16" t="str">
        <x:v>CSV</x:v>
      </x:c>
      <x:c r="C31" s="16" t="str">
        <x:v>Tabular values; may contain sensor data or packet-derived features, not necessarily original packets.</x:v>
      </x:c>
    </x:row>
    <x:row r="32" ht="62" customHeight="1">
      <x:c r="A32" s="16" t="str">
        <x:v>Structured Threat Information Expression</x:v>
      </x:c>
      <x:c r="B32" s="16" t="str">
        <x:v>STIX</x:v>
      </x:c>
      <x:c r="C32" s="16" t="str">
        <x:v>Machine-readable knowledge format; ATT&amp;CK provides STIX 2.1 collections.</x:v>
      </x:c>
    </x:row>
    <x:row r="33" ht="62" customHeight="1">
      <x:c r="A33" s="16" t="str">
        <x:v>National Institute of Standards and Technology / Special Publication</x:v>
      </x:c>
      <x:c r="B33" s="16" t="str">
        <x:v>NIST / SP</x:v>
      </x:c>
      <x:c r="C33" s="16" t="str">
        <x:v>NIST SP 800-82 is guidance, not a packet dataset.</x:v>
      </x:c>
    </x:row>
    <x:row r="34" ht="62" customHeight="1">
      <x:c r="A34" s="16" t="str">
        <x:v>Adversarial Tactics, Techniques, and Common Knowledge</x:v>
      </x:c>
      <x:c r="B34" s="16" t="str">
        <x:v>ATT&amp;CK</x:v>
      </x:c>
      <x:c r="C34" s="16" t="str">
        <x:v>MITRE behavior knowledge base; mapping requires evidence.</x:v>
      </x:c>
    </x:row>
    <x:row r="35" ht="62" customHeight="1">
      <x:c r="A35" s="16" t="str">
        <x:v>GNU General Public License</x:v>
      </x:c>
      <x:c r="B35" s="16" t="str">
        <x:v>GPL</x:v>
      </x:c>
      <x:c r="C35" s="16" t="str">
        <x:v>Software copyleft license; inspect version and obligations for each component.</x:v>
      </x:c>
    </x:row>
    <x:row r="36" ht="62" customHeight="1">
      <x:c r="A36" s="16" t="str">
        <x:v>Creative Commons Attribution / Attribution-ShareAlike</x:v>
      </x:c>
      <x:c r="B36" s="16" t="str">
        <x:v>CC BY / CC BY-SA</x:v>
      </x:c>
      <x:c r="C36" s="16" t="str">
        <x:v>Different content-license obligations; HAI lists conflicting notices.</x:v>
      </x:c>
    </x:row>
    <x:row r="37" ht="62" customHeight="1">
      <x:c r="A37" s="16" t="str">
        <x:v>MIT license</x:v>
      </x:c>
      <x:c r="B37" s="16" t="str">
        <x:v>MIT</x:v>
      </x:c>
      <x:c r="C37" s="16" t="str">
        <x:v>Permissive software/content license notice; retain copyright and permission text.</x:v>
      </x:c>
    </x:row>
    <x:row r="38" ht="62" customHeight="1">
      <x:c r="A38" s="16" t="str">
        <x:v>Git Large File Storage</x:v>
      </x:c>
      <x:c r="B38" s="16" t="str">
        <x:v>Git LFS</x:v>
      </x:c>
      <x:c r="C38" s="16" t="str">
        <x:v>Mechanism used by newer HAI releases to retrieve actual large files.</x:v>
      </x:c>
    </x:row>
    <x:row r="39" ht="62" customHeight="1">
      <x:c r="A39" s="16" t="str">
        <x:v>Physical-process ground truth</x:v>
      </x:c>
      <x:c r="B39" s="16" t="str">
        <x:v>Definition</x:v>
      </x:c>
      <x:c r="C39" s="16" t="str">
        <x:v>Measured or simulated process state with provenance. A potentially manipulated sensor value is not an independent oracle.</x:v>
      </x:c>
    </x:row>
    <x:row r="40" ht="62" customHeight="1">
      <x:c r="A40" s="16" t="str">
        <x:v>Network realism</x:v>
      </x:c>
      <x:c r="B40" s="16" t="str">
        <x:v>Assessment</x:v>
      </x:c>
      <x:c r="C40" s="16" t="str">
        <x:v>Qualitative judgment of actual device traffic, implemented protocol behavior and emulation limitations; no numerical benchmark score.</x:v>
      </x:c>
    </x:row>
    <x:row r="41" ht="62" customHeight="1">
      <x:c r="A41" s="16" t="str">
        <x:v>Process realism</x:v>
      </x:c>
      <x:c r="B41" s="16" t="str">
        <x:v>Assessment</x:v>
      </x:c>
      <x:c r="C41" s="16" t="str">
        <x:v>Distinguish real laboratory process, HIL-augmented process, simulation, baseline values and absent physical context.</x:v>
      </x:c>
    </x:row>
    <x:row r="42" ht="62" customHeight="1">
      <x:c r="A42" s="16" t="str">
        <x:v>Participant difficulty</x:v>
      </x:c>
      <x:c r="B42" s="16" t="str">
        <x:v>Assessment</x:v>
      </x:c>
      <x:c r="C42" s="16" t="str">
        <x:v>Beginner: guided discovery; intermediate: protocol/context analysis; advanced: multi-stream causal analysis and modeling.</x:v>
      </x:c>
    </x:row>
    <x:row r="43" ht="62" customHeight="1">
      <x:c r="A43" s="16" t="str">
        <x:v>Organizer effort</x:v>
      </x:c>
      <x:c r="B43" s="16" t="str">
        <x:v>Assessment</x:v>
      </x:c>
      <x:c r="C43" s="16" t="str">
        <x:v>Low: reference preparation; intermediate: data/label curation; advanced: integration, instrumentation or large synchronized releases. Not a time estimate.</x:v>
      </x:c>
    </x:row>
    <x:row r="44" ht="62" customHeight="1">
      <x:c r="A44" s="16" t="str">
        <x:v>Suitability</x:v>
      </x:c>
      <x:c r="B44" s="16" t="str">
        <x:v>Assessment</x:v>
      </x:c>
      <x:c r="C44" s="16" t="str">
        <x:v>Proposed learning role based on documented strengths and limitations, not a tested event-readiness certification.</x:v>
      </x:c>
    </x:row>
    <x:row r="45" ht="62" customHeight="1">
      <x:c r="A45" s="16" t="str">
        <x:v>Configured / Plugin / Emulated</x:v>
      </x:c>
      <x:c r="B45" s="16" t="str">
        <x:v>Protocol legend</x:v>
      </x:c>
      <x:c r="C45" s="16" t="str">
        <x:v>Documented generator behavior or capability; must be run and captured before claiming active wire coverage.</x:v>
      </x:c>
    </x:row>
    <x:row r="46" ht="62" customHeight="1">
      <x:c r="A46" s="16" t="str">
        <x:v>Lab / Acquisition</x:v>
      </x:c>
      <x:c r="B46" s="16" t="str">
        <x:v>Protocol legend</x:v>
      </x:c>
      <x:c r="C46" s="16" t="str">
        <x:v>Protocol in the documented testbed or collection path; does not prove it is in a distributed PCAP.</x:v>
      </x:c>
    </x:row>
    <x:row r="47" ht="62" customHeight="1">
      <x:c r="A47" s="16" t="str">
        <x:v>Dataset / Named file</x:v>
      </x:c>
      <x:c r="B47" s="16" t="str">
        <x:v>Protocol legend</x:v>
      </x:c>
      <x:c r="C47" s="16" t="str">
        <x:v>Owner explicitly describes protocol traces / uses a protocol-specific filename. Binary QA remains outstanding.</x:v>
      </x:c>
    </x:row>
    <x:row r="48" ht="62" customHeight="1">
      <x:c r="A48" s="16" t="str">
        <x:v>Candidate / Unverified / Bundled only</x:v>
      </x:c>
      <x:c r="B48" s="16" t="str">
        <x:v>Protocol legend</x:v>
      </x:c>
      <x:c r="C48" s="16" t="str">
        <x:v>Discovery or configuration evidence only; do not count as validated protocol coverage.</x:v>
      </x:c>
    </x:row>
    <x:row r="49" ht="62" customHeight="1">
      <x:c r="A49" s="16" t="str">
        <x:v>Reference / —</x:v>
      </x:c>
      <x:c r="B49" s="16" t="str">
        <x:v>Protocol legend</x:v>
      </x:c>
      <x:c r="C49" s="16" t="str">
        <x:v>Reference contributes no packet coverage. Dash means not established in this review, not proof of absence.</x:v>
      </x:c>
    </x:row>
    <x:row r="50" ht="62" customHeight="1">
      <x:c r="A50" s="16" t="str">
        <x:v>Verification scope</x:v>
      </x:c>
      <x:c r="B50" s="16" t="str">
        <x:v>Review boundary</x:v>
      </x:c>
      <x:c r="C50" s="16" t="str">
        <x:v>Primary documentation, license and configuration review only. No full PCAP archive audit, runtime benchmark or permission request was performed.</x:v>
      </x:c>
    </x:row>
  </x:sheetData>
  <x:mergeCells>
    <x:mergeCell ref="A1:C2"/>
    <x:mergeCell ref="A3:C4"/>
  </x:mergeCells>
  <x:pageMargins left="0.7" right="0.7" top="0.75" bottom="0.75" header="0.3" footer="0.3"/>
  <x:tableParts count="1">
    <x:tablePart xmlns:r="http://schemas.openxmlformats.org/officeDocument/2006/relationships" r:id="R0e6afcad8ce14bef"/>
  </x:tableParts>
</x:worksheet>
</file>